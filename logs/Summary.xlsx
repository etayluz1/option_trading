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tion_trading\logs\"/>
    </mc:Choice>
  </mc:AlternateContent>
  <xr:revisionPtr revIDLastSave="0" documentId="13_ncr:1_{DEF4219C-A410-4D7A-89D0-9AB86115AEF7}" xr6:coauthVersionLast="47" xr6:coauthVersionMax="47" xr10:uidLastSave="{00000000-0000-0000-0000-000000000000}"/>
  <bookViews>
    <workbookView xWindow="16575" yWindow="120" windowWidth="12015" windowHeight="15360" firstSheet="6" activeTab="9" xr2:uid="{73C9016F-6935-4681-A612-C4FA184818EC}"/>
  </bookViews>
  <sheets>
    <sheet name="Optimization" sheetId="1" r:id="rId1"/>
    <sheet name="Sheet7" sheetId="7" r:id="rId2"/>
    <sheet name="Sheet8" sheetId="8" r:id="rId3"/>
    <sheet name="Sheet6" sheetId="6" r:id="rId4"/>
    <sheet name="Sheet5" sheetId="5" r:id="rId5"/>
    <sheet name="Sheet2" sheetId="2" r:id="rId6"/>
    <sheet name="Sheet3" sheetId="3" r:id="rId7"/>
    <sheet name="Sheet4" sheetId="4" r:id="rId8"/>
    <sheet name="Sheet9" sheetId="9" r:id="rId9"/>
    <sheet name="Sheet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8" i="9" l="1"/>
  <c r="U18" i="9"/>
  <c r="B33" i="9"/>
  <c r="B34" i="9"/>
  <c r="B35" i="9"/>
  <c r="B36" i="9"/>
  <c r="B37" i="9"/>
  <c r="B38" i="9"/>
  <c r="B39" i="9"/>
  <c r="B40" i="9"/>
  <c r="B41" i="9"/>
  <c r="B42" i="9"/>
  <c r="B43" i="9"/>
  <c r="B44" i="9"/>
  <c r="B32" i="9"/>
  <c r="B26" i="9"/>
  <c r="B27" i="9"/>
  <c r="B28" i="9"/>
  <c r="B29" i="9"/>
  <c r="B30" i="9"/>
  <c r="B31" i="9"/>
  <c r="B25" i="9"/>
  <c r="B24" i="9"/>
  <c r="B21" i="9"/>
  <c r="B22" i="9"/>
  <c r="B23" i="9"/>
  <c r="B20" i="9"/>
  <c r="B19" i="9"/>
  <c r="B9" i="9"/>
  <c r="B10" i="9"/>
  <c r="B11" i="9"/>
  <c r="B12" i="9"/>
  <c r="B13" i="9"/>
  <c r="B14" i="9"/>
  <c r="B15" i="9"/>
  <c r="B16" i="9"/>
  <c r="B17" i="9"/>
  <c r="B18" i="9"/>
  <c r="B8" i="9"/>
  <c r="X93" i="9"/>
  <c r="X95" i="9"/>
  <c r="X92" i="9"/>
  <c r="T92" i="9"/>
  <c r="T44" i="9"/>
  <c r="N102" i="9"/>
  <c r="N101" i="9"/>
  <c r="N99" i="9"/>
  <c r="N98" i="9"/>
  <c r="P98" i="9" s="1"/>
  <c r="N97" i="9"/>
  <c r="N75" i="9"/>
  <c r="N66" i="9"/>
  <c r="N65" i="9"/>
  <c r="N92" i="9"/>
  <c r="N91" i="9"/>
  <c r="N90" i="9"/>
  <c r="N89" i="9"/>
  <c r="P89" i="9" s="1"/>
  <c r="N88" i="9"/>
  <c r="P88" i="9" s="1"/>
  <c r="N87" i="9"/>
  <c r="N86" i="9"/>
  <c r="N85" i="9"/>
  <c r="N84" i="9"/>
  <c r="N83" i="9"/>
  <c r="N82" i="9"/>
  <c r="P82" i="9" s="1"/>
  <c r="N81" i="9"/>
  <c r="P81" i="9" s="1"/>
  <c r="N80" i="9"/>
  <c r="P80" i="9" s="1"/>
  <c r="N79" i="9"/>
  <c r="P79" i="9" s="1"/>
  <c r="N78" i="9"/>
  <c r="N77" i="9"/>
  <c r="N76" i="9"/>
  <c r="P76" i="9" s="1"/>
  <c r="P75" i="9"/>
  <c r="N74" i="9"/>
  <c r="P74" i="9" s="1"/>
  <c r="N73" i="9"/>
  <c r="N72" i="9"/>
  <c r="N71" i="9"/>
  <c r="N70" i="9"/>
  <c r="N69" i="9"/>
  <c r="N68" i="9"/>
  <c r="N67" i="9"/>
  <c r="P66" i="9"/>
  <c r="P65" i="9"/>
  <c r="N64" i="9"/>
  <c r="P64" i="9" s="1"/>
  <c r="N63" i="9"/>
  <c r="P63" i="9" s="1"/>
  <c r="N62" i="9"/>
  <c r="P62" i="9" s="1"/>
  <c r="N61" i="9"/>
  <c r="P61" i="9" s="1"/>
  <c r="N60" i="9"/>
  <c r="N7" i="9"/>
  <c r="N58" i="9"/>
  <c r="N57" i="9"/>
  <c r="N51" i="9"/>
  <c r="P51" i="9" s="1"/>
  <c r="N50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7" i="9"/>
  <c r="P48" i="9"/>
  <c r="P49" i="9"/>
  <c r="P50" i="9"/>
  <c r="P55" i="9"/>
  <c r="P57" i="9"/>
  <c r="P58" i="9"/>
  <c r="P60" i="9"/>
  <c r="P67" i="9"/>
  <c r="P68" i="9"/>
  <c r="P69" i="9"/>
  <c r="P70" i="9"/>
  <c r="P71" i="9"/>
  <c r="P72" i="9"/>
  <c r="P73" i="9"/>
  <c r="P77" i="9"/>
  <c r="P78" i="9"/>
  <c r="P83" i="9"/>
  <c r="P84" i="9"/>
  <c r="P85" i="9"/>
  <c r="P86" i="9"/>
  <c r="P87" i="9"/>
  <c r="P90" i="9"/>
  <c r="P91" i="9"/>
  <c r="P92" i="9"/>
  <c r="P93" i="9"/>
  <c r="P95" i="9"/>
  <c r="P96" i="9"/>
  <c r="P97" i="9"/>
  <c r="P99" i="9"/>
  <c r="P101" i="9"/>
  <c r="P102" i="9"/>
  <c r="P3" i="9"/>
  <c r="P4" i="9"/>
  <c r="P5" i="9"/>
  <c r="P6" i="9"/>
  <c r="P7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P8" i="9"/>
  <c r="N8" i="9"/>
  <c r="N6" i="9"/>
  <c r="N3" i="9"/>
  <c r="N5" i="9"/>
  <c r="N45" i="9"/>
  <c r="N47" i="9"/>
  <c r="N48" i="9"/>
  <c r="N49" i="9"/>
  <c r="N53" i="9"/>
  <c r="N55" i="9"/>
  <c r="N59" i="9"/>
  <c r="P59" i="9" s="1"/>
  <c r="N93" i="9"/>
  <c r="N95" i="9"/>
  <c r="N96" i="9"/>
  <c r="S12" i="8"/>
  <c r="Q12" i="8"/>
  <c r="P12" i="8"/>
  <c r="N11" i="8"/>
  <c r="L8" i="8"/>
  <c r="N12" i="8"/>
  <c r="L11" i="8"/>
  <c r="L10" i="8"/>
  <c r="S38" i="7"/>
  <c r="Q38" i="7"/>
  <c r="Q17" i="7"/>
  <c r="H115" i="6"/>
  <c r="K115" i="6"/>
  <c r="M115" i="6"/>
  <c r="M720" i="6"/>
  <c r="E101" i="6"/>
  <c r="E90" i="6"/>
  <c r="E17" i="6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B37" i="1"/>
  <c r="C37" i="1"/>
  <c r="J49" i="1"/>
  <c r="K49" i="1"/>
  <c r="J50" i="1"/>
  <c r="K50" i="1"/>
  <c r="J51" i="1"/>
  <c r="J53" i="1" s="1"/>
  <c r="K51" i="1"/>
  <c r="K53" i="1" s="1"/>
  <c r="J52" i="1"/>
  <c r="K52" i="1"/>
  <c r="J57" i="1"/>
  <c r="K57" i="1"/>
  <c r="B49" i="1"/>
  <c r="B52" i="1" s="1"/>
  <c r="C49" i="1"/>
  <c r="D49" i="1"/>
  <c r="E49" i="1"/>
  <c r="F49" i="1"/>
  <c r="G49" i="1"/>
  <c r="H49" i="1"/>
  <c r="B50" i="1"/>
  <c r="C50" i="1"/>
  <c r="D50" i="1"/>
  <c r="E50" i="1"/>
  <c r="F50" i="1"/>
  <c r="G50" i="1"/>
  <c r="H50" i="1"/>
  <c r="B51" i="1"/>
  <c r="B53" i="1" s="1"/>
  <c r="C51" i="1"/>
  <c r="C53" i="1" s="1"/>
  <c r="D51" i="1"/>
  <c r="D53" i="1" s="1"/>
  <c r="E51" i="1"/>
  <c r="F51" i="1"/>
  <c r="F53" i="1" s="1"/>
  <c r="G51" i="1"/>
  <c r="G53" i="1" s="1"/>
  <c r="H51" i="1"/>
  <c r="H53" i="1" s="1"/>
  <c r="C52" i="1"/>
  <c r="D52" i="1"/>
  <c r="E52" i="1"/>
  <c r="F52" i="1"/>
  <c r="G52" i="1"/>
  <c r="H52" i="1"/>
  <c r="E53" i="1"/>
  <c r="E54" i="1" s="1"/>
  <c r="E55" i="1" s="1"/>
  <c r="E56" i="1"/>
  <c r="C57" i="1"/>
  <c r="D57" i="1"/>
  <c r="E57" i="1"/>
  <c r="F57" i="1"/>
  <c r="G57" i="1"/>
  <c r="H57" i="1"/>
  <c r="I50" i="1"/>
  <c r="I49" i="1"/>
  <c r="I57" i="1" s="1"/>
  <c r="J47" i="1"/>
  <c r="K47" i="1"/>
  <c r="L47" i="1"/>
  <c r="M47" i="1"/>
  <c r="N47" i="1"/>
  <c r="O47" i="1"/>
  <c r="P47" i="1"/>
  <c r="Q47" i="1"/>
  <c r="R47" i="1"/>
  <c r="B47" i="1"/>
  <c r="C47" i="1"/>
  <c r="D47" i="1"/>
  <c r="E47" i="1"/>
  <c r="F47" i="1"/>
  <c r="G47" i="1"/>
  <c r="H47" i="1"/>
  <c r="I47" i="1"/>
  <c r="B45" i="1"/>
  <c r="C45" i="1"/>
  <c r="D45" i="1"/>
  <c r="E45" i="1"/>
  <c r="F45" i="1"/>
  <c r="H45" i="1"/>
  <c r="I45" i="1"/>
  <c r="J45" i="1"/>
  <c r="M115" i="5"/>
  <c r="M627" i="5"/>
  <c r="E100" i="5"/>
  <c r="E89" i="5"/>
  <c r="K45" i="1"/>
  <c r="L45" i="1"/>
  <c r="M45" i="1"/>
  <c r="N45" i="1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T545" i="4" s="1"/>
  <c r="S544" i="4"/>
  <c r="S543" i="4"/>
  <c r="S542" i="4"/>
  <c r="S541" i="4"/>
  <c r="S540" i="4"/>
  <c r="T540" i="4" s="1"/>
  <c r="S539" i="4"/>
  <c r="T539" i="4" s="1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T519" i="4" s="1"/>
  <c r="S518" i="4"/>
  <c r="S517" i="4"/>
  <c r="S516" i="4"/>
  <c r="S515" i="4"/>
  <c r="S514" i="4"/>
  <c r="S513" i="4"/>
  <c r="T513" i="4" s="1"/>
  <c r="S512" i="4"/>
  <c r="S511" i="4"/>
  <c r="S510" i="4"/>
  <c r="S509" i="4"/>
  <c r="S508" i="4"/>
  <c r="T508" i="4" s="1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T486" i="4" s="1"/>
  <c r="S485" i="4"/>
  <c r="S484" i="4"/>
  <c r="S483" i="4"/>
  <c r="T483" i="4" s="1"/>
  <c r="S482" i="4"/>
  <c r="S481" i="4"/>
  <c r="T481" i="4" s="1"/>
  <c r="S480" i="4"/>
  <c r="S479" i="4"/>
  <c r="S478" i="4"/>
  <c r="S477" i="4"/>
  <c r="S476" i="4"/>
  <c r="S475" i="4"/>
  <c r="T475" i="4" s="1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T454" i="4" s="1"/>
  <c r="S453" i="4"/>
  <c r="S452" i="4"/>
  <c r="S451" i="4"/>
  <c r="T451" i="4" s="1"/>
  <c r="S450" i="4"/>
  <c r="S449" i="4"/>
  <c r="T449" i="4" s="1"/>
  <c r="S448" i="4"/>
  <c r="S447" i="4"/>
  <c r="S446" i="4"/>
  <c r="T446" i="4" s="1"/>
  <c r="S445" i="4"/>
  <c r="S444" i="4"/>
  <c r="S443" i="4"/>
  <c r="T443" i="4" s="1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T417" i="4" s="1"/>
  <c r="S416" i="4"/>
  <c r="S415" i="4"/>
  <c r="S414" i="4"/>
  <c r="T414" i="4" s="1"/>
  <c r="S413" i="4"/>
  <c r="S412" i="4"/>
  <c r="T412" i="4" s="1"/>
  <c r="S411" i="4"/>
  <c r="T411" i="4" s="1"/>
  <c r="S410" i="4"/>
  <c r="S409" i="4"/>
  <c r="S408" i="4"/>
  <c r="S407" i="4"/>
  <c r="S406" i="4"/>
  <c r="S405" i="4"/>
  <c r="S404" i="4"/>
  <c r="S403" i="4"/>
  <c r="S402" i="4"/>
  <c r="S401" i="4"/>
  <c r="S400" i="4"/>
  <c r="S399" i="4"/>
  <c r="T399" i="4" s="1"/>
  <c r="S398" i="4"/>
  <c r="T398" i="4" s="1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T382" i="4" s="1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T366" i="4" s="1"/>
  <c r="S365" i="4"/>
  <c r="S364" i="4"/>
  <c r="S363" i="4"/>
  <c r="S362" i="4"/>
  <c r="S361" i="4"/>
  <c r="S360" i="4"/>
  <c r="S359" i="4"/>
  <c r="S358" i="4"/>
  <c r="T358" i="4" s="1"/>
  <c r="S357" i="4"/>
  <c r="S356" i="4"/>
  <c r="S355" i="4"/>
  <c r="T355" i="4" s="1"/>
  <c r="S354" i="4"/>
  <c r="S353" i="4"/>
  <c r="S352" i="4"/>
  <c r="S351" i="4"/>
  <c r="S350" i="4"/>
  <c r="T350" i="4" s="1"/>
  <c r="S349" i="4"/>
  <c r="S348" i="4"/>
  <c r="T348" i="4" s="1"/>
  <c r="S347" i="4"/>
  <c r="T347" i="4" s="1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T326" i="4" s="1"/>
  <c r="S325" i="4"/>
  <c r="S324" i="4"/>
  <c r="S323" i="4"/>
  <c r="T323" i="4" s="1"/>
  <c r="S322" i="4"/>
  <c r="T322" i="4" s="1"/>
  <c r="S321" i="4"/>
  <c r="S320" i="4"/>
  <c r="S319" i="4"/>
  <c r="S318" i="4"/>
  <c r="T318" i="4" s="1"/>
  <c r="S317" i="4"/>
  <c r="S316" i="4"/>
  <c r="T316" i="4" s="1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T291" i="4" s="1"/>
  <c r="S290" i="4"/>
  <c r="T290" i="4" s="1"/>
  <c r="S289" i="4"/>
  <c r="T289" i="4" s="1"/>
  <c r="S288" i="4"/>
  <c r="S287" i="4"/>
  <c r="S286" i="4"/>
  <c r="S285" i="4"/>
  <c r="S284" i="4"/>
  <c r="T284" i="4" s="1"/>
  <c r="S283" i="4"/>
  <c r="T283" i="4" s="1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T257" i="4" s="1"/>
  <c r="S256" i="4"/>
  <c r="S255" i="4"/>
  <c r="S254" i="4"/>
  <c r="T254" i="4" s="1"/>
  <c r="S253" i="4"/>
  <c r="S252" i="4"/>
  <c r="T252" i="4" s="1"/>
  <c r="S251" i="4"/>
  <c r="T251" i="4" s="1"/>
  <c r="S250" i="4"/>
  <c r="S249" i="4"/>
  <c r="S248" i="4"/>
  <c r="S247" i="4"/>
  <c r="S246" i="4"/>
  <c r="S245" i="4"/>
  <c r="S244" i="4"/>
  <c r="S243" i="4"/>
  <c r="S242" i="4"/>
  <c r="S241" i="4"/>
  <c r="S240" i="4"/>
  <c r="S239" i="4"/>
  <c r="T239" i="4" s="1"/>
  <c r="S238" i="4"/>
  <c r="T238" i="4" s="1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T222" i="4" s="1"/>
  <c r="S221" i="4"/>
  <c r="S220" i="4"/>
  <c r="S219" i="4"/>
  <c r="T219" i="4" s="1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T205" i="4" s="1"/>
  <c r="S204" i="4"/>
  <c r="S203" i="4"/>
  <c r="S202" i="4"/>
  <c r="S201" i="4"/>
  <c r="S200" i="4"/>
  <c r="S199" i="4"/>
  <c r="S198" i="4"/>
  <c r="S197" i="4"/>
  <c r="S196" i="4"/>
  <c r="S195" i="4"/>
  <c r="S194" i="4"/>
  <c r="T194" i="4" s="1"/>
  <c r="S193" i="4"/>
  <c r="T193" i="4" s="1"/>
  <c r="S192" i="4"/>
  <c r="S191" i="4"/>
  <c r="S190" i="4"/>
  <c r="S189" i="4"/>
  <c r="S188" i="4"/>
  <c r="S187" i="4"/>
  <c r="T187" i="4" s="1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T161" i="4" s="1"/>
  <c r="S160" i="4"/>
  <c r="S159" i="4"/>
  <c r="S158" i="4"/>
  <c r="T158" i="4" s="1"/>
  <c r="S157" i="4"/>
  <c r="S156" i="4"/>
  <c r="T156" i="4" s="1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T129" i="4" s="1"/>
  <c r="S128" i="4"/>
  <c r="S127" i="4"/>
  <c r="S126" i="4"/>
  <c r="T126" i="4" s="1"/>
  <c r="S125" i="4"/>
  <c r="S124" i="4"/>
  <c r="T124" i="4" s="1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T111" i="4" s="1"/>
  <c r="S110" i="4"/>
  <c r="T110" i="4" s="1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T97" i="4" s="1"/>
  <c r="S96" i="4"/>
  <c r="S95" i="4"/>
  <c r="S94" i="4"/>
  <c r="T94" i="4" s="1"/>
  <c r="S93" i="4"/>
  <c r="S92" i="4"/>
  <c r="T92" i="4" s="1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T77" i="4" s="1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T60" i="4" s="1"/>
  <c r="S59" i="4"/>
  <c r="T59" i="4" s="1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T33" i="4" s="1"/>
  <c r="S32" i="4"/>
  <c r="S31" i="4"/>
  <c r="S30" i="4"/>
  <c r="T30" i="4" s="1"/>
  <c r="S29" i="4"/>
  <c r="S28" i="4"/>
  <c r="T28" i="4" s="1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T12" i="4" s="1"/>
  <c r="S11" i="4"/>
  <c r="T11" i="4" s="1"/>
  <c r="S10" i="4"/>
  <c r="T10" i="4" s="1"/>
  <c r="S9" i="4"/>
  <c r="S8" i="4"/>
  <c r="T8" i="4" s="1"/>
  <c r="S7" i="4"/>
  <c r="S6" i="4"/>
  <c r="S3" i="4" s="1"/>
  <c r="S5" i="4"/>
  <c r="R3" i="4"/>
  <c r="Q25" i="4"/>
  <c r="Q26" i="4"/>
  <c r="Q27" i="4"/>
  <c r="Q28" i="4"/>
  <c r="Q29" i="4"/>
  <c r="Q30" i="4"/>
  <c r="Q31" i="4"/>
  <c r="Q32" i="4"/>
  <c r="Q33" i="4"/>
  <c r="Q34" i="4"/>
  <c r="Q35" i="4"/>
  <c r="R35" i="4" s="1"/>
  <c r="Q36" i="4"/>
  <c r="Q37" i="4"/>
  <c r="Q38" i="4"/>
  <c r="R38" i="4" s="1"/>
  <c r="Q39" i="4"/>
  <c r="R39" i="4" s="1"/>
  <c r="Q40" i="4"/>
  <c r="R40" i="4" s="1"/>
  <c r="Q41" i="4"/>
  <c r="R41" i="4" s="1"/>
  <c r="T41" i="4" s="1"/>
  <c r="Q42" i="4"/>
  <c r="R42" i="4" s="1"/>
  <c r="Q43" i="4"/>
  <c r="Q44" i="4"/>
  <c r="R44" i="4" s="1"/>
  <c r="Q45" i="4"/>
  <c r="Q46" i="4"/>
  <c r="Q47" i="4"/>
  <c r="Q48" i="4"/>
  <c r="Q49" i="4"/>
  <c r="R49" i="4" s="1"/>
  <c r="T49" i="4" s="1"/>
  <c r="Q50" i="4"/>
  <c r="R50" i="4" s="1"/>
  <c r="Q51" i="4"/>
  <c r="R51" i="4" s="1"/>
  <c r="T51" i="4" s="1"/>
  <c r="Q52" i="4"/>
  <c r="R52" i="4" s="1"/>
  <c r="T52" i="4" s="1"/>
  <c r="Q53" i="4"/>
  <c r="R53" i="4" s="1"/>
  <c r="T53" i="4" s="1"/>
  <c r="Q54" i="4"/>
  <c r="R54" i="4" s="1"/>
  <c r="T54" i="4" s="1"/>
  <c r="Q55" i="4"/>
  <c r="R55" i="4" s="1"/>
  <c r="T55" i="4" s="1"/>
  <c r="Q56" i="4"/>
  <c r="R56" i="4" s="1"/>
  <c r="T56" i="4" s="1"/>
  <c r="Q57" i="4"/>
  <c r="Q58" i="4"/>
  <c r="Q59" i="4"/>
  <c r="Q60" i="4"/>
  <c r="Q61" i="4"/>
  <c r="Q62" i="4"/>
  <c r="Q63" i="4"/>
  <c r="Q64" i="4"/>
  <c r="Q65" i="4"/>
  <c r="Q66" i="4"/>
  <c r="Q67" i="4"/>
  <c r="R67" i="4" s="1"/>
  <c r="Q68" i="4"/>
  <c r="Q69" i="4"/>
  <c r="R69" i="4" s="1"/>
  <c r="Q70" i="4"/>
  <c r="R70" i="4" s="1"/>
  <c r="Q71" i="4"/>
  <c r="R71" i="4" s="1"/>
  <c r="Q72" i="4"/>
  <c r="R72" i="4" s="1"/>
  <c r="Q73" i="4"/>
  <c r="Q74" i="4"/>
  <c r="Q75" i="4"/>
  <c r="R75" i="4" s="1"/>
  <c r="T75" i="4" s="1"/>
  <c r="Q76" i="4"/>
  <c r="R76" i="4" s="1"/>
  <c r="Q77" i="4"/>
  <c r="Q78" i="4"/>
  <c r="Q79" i="4"/>
  <c r="Q80" i="4"/>
  <c r="R80" i="4" s="1"/>
  <c r="Q81" i="4"/>
  <c r="R81" i="4" s="1"/>
  <c r="T81" i="4" s="1"/>
  <c r="Q82" i="4"/>
  <c r="R82" i="4" s="1"/>
  <c r="Q83" i="4"/>
  <c r="R83" i="4" s="1"/>
  <c r="T83" i="4" s="1"/>
  <c r="Q84" i="4"/>
  <c r="R84" i="4" s="1"/>
  <c r="T84" i="4" s="1"/>
  <c r="Q85" i="4"/>
  <c r="R85" i="4" s="1"/>
  <c r="T85" i="4" s="1"/>
  <c r="Q86" i="4"/>
  <c r="R86" i="4" s="1"/>
  <c r="T86" i="4" s="1"/>
  <c r="Q87" i="4"/>
  <c r="R87" i="4" s="1"/>
  <c r="T87" i="4" s="1"/>
  <c r="Q88" i="4"/>
  <c r="R88" i="4" s="1"/>
  <c r="T88" i="4" s="1"/>
  <c r="Q89" i="4"/>
  <c r="Q90" i="4"/>
  <c r="Q91" i="4"/>
  <c r="Q92" i="4"/>
  <c r="Q93" i="4"/>
  <c r="Q94" i="4"/>
  <c r="Q95" i="4"/>
  <c r="Q96" i="4"/>
  <c r="Q97" i="4"/>
  <c r="Q98" i="4"/>
  <c r="Q99" i="4"/>
  <c r="R99" i="4" s="1"/>
  <c r="Q100" i="4"/>
  <c r="Q101" i="4"/>
  <c r="Q102" i="4"/>
  <c r="R102" i="4" s="1"/>
  <c r="Q103" i="4"/>
  <c r="R103" i="4" s="1"/>
  <c r="Q104" i="4"/>
  <c r="R104" i="4" s="1"/>
  <c r="Q105" i="4"/>
  <c r="R105" i="4" s="1"/>
  <c r="T105" i="4" s="1"/>
  <c r="Q106" i="4"/>
  <c r="R106" i="4" s="1"/>
  <c r="Q107" i="4"/>
  <c r="Q108" i="4"/>
  <c r="R108" i="4" s="1"/>
  <c r="Q109" i="4"/>
  <c r="Q110" i="4"/>
  <c r="Q111" i="4"/>
  <c r="Q112" i="4"/>
  <c r="Q113" i="4"/>
  <c r="R113" i="4" s="1"/>
  <c r="T113" i="4" s="1"/>
  <c r="Q114" i="4"/>
  <c r="R114" i="4" s="1"/>
  <c r="Q115" i="4"/>
  <c r="R115" i="4" s="1"/>
  <c r="T115" i="4" s="1"/>
  <c r="Q116" i="4"/>
  <c r="R116" i="4" s="1"/>
  <c r="T116" i="4" s="1"/>
  <c r="Q117" i="4"/>
  <c r="R117" i="4" s="1"/>
  <c r="T117" i="4" s="1"/>
  <c r="Q118" i="4"/>
  <c r="R118" i="4" s="1"/>
  <c r="T118" i="4" s="1"/>
  <c r="Q119" i="4"/>
  <c r="R119" i="4" s="1"/>
  <c r="T119" i="4" s="1"/>
  <c r="Q120" i="4"/>
  <c r="R120" i="4" s="1"/>
  <c r="T120" i="4" s="1"/>
  <c r="Q121" i="4"/>
  <c r="Q122" i="4"/>
  <c r="Q123" i="4"/>
  <c r="Q124" i="4"/>
  <c r="Q125" i="4"/>
  <c r="Q126" i="4"/>
  <c r="Q127" i="4"/>
  <c r="Q128" i="4"/>
  <c r="Q129" i="4"/>
  <c r="Q130" i="4"/>
  <c r="Q131" i="4"/>
  <c r="R131" i="4" s="1"/>
  <c r="Q132" i="4"/>
  <c r="Q133" i="4"/>
  <c r="Q134" i="4"/>
  <c r="R134" i="4" s="1"/>
  <c r="Q135" i="4"/>
  <c r="R135" i="4" s="1"/>
  <c r="Q136" i="4"/>
  <c r="R136" i="4" s="1"/>
  <c r="Q137" i="4"/>
  <c r="R137" i="4" s="1"/>
  <c r="T137" i="4" s="1"/>
  <c r="Q138" i="4"/>
  <c r="R138" i="4" s="1"/>
  <c r="Q139" i="4"/>
  <c r="Q140" i="4"/>
  <c r="R140" i="4" s="1"/>
  <c r="Q141" i="4"/>
  <c r="Q142" i="4"/>
  <c r="Q143" i="4"/>
  <c r="Q144" i="4"/>
  <c r="Q145" i="4"/>
  <c r="Q146" i="4"/>
  <c r="R146" i="4" s="1"/>
  <c r="Q147" i="4"/>
  <c r="R147" i="4" s="1"/>
  <c r="T147" i="4" s="1"/>
  <c r="Q148" i="4"/>
  <c r="R148" i="4" s="1"/>
  <c r="T148" i="4" s="1"/>
  <c r="Q149" i="4"/>
  <c r="R149" i="4" s="1"/>
  <c r="T149" i="4" s="1"/>
  <c r="Q150" i="4"/>
  <c r="R150" i="4" s="1"/>
  <c r="T150" i="4" s="1"/>
  <c r="Q151" i="4"/>
  <c r="R151" i="4" s="1"/>
  <c r="T151" i="4" s="1"/>
  <c r="Q152" i="4"/>
  <c r="R152" i="4" s="1"/>
  <c r="T152" i="4" s="1"/>
  <c r="Q153" i="4"/>
  <c r="Q154" i="4"/>
  <c r="Q155" i="4"/>
  <c r="Q156" i="4"/>
  <c r="Q157" i="4"/>
  <c r="Q158" i="4"/>
  <c r="Q159" i="4"/>
  <c r="Q160" i="4"/>
  <c r="Q161" i="4"/>
  <c r="Q162" i="4"/>
  <c r="Q163" i="4"/>
  <c r="R163" i="4" s="1"/>
  <c r="Q164" i="4"/>
  <c r="Q165" i="4"/>
  <c r="R165" i="4" s="1"/>
  <c r="Q166" i="4"/>
  <c r="R166" i="4" s="1"/>
  <c r="Q167" i="4"/>
  <c r="R167" i="4" s="1"/>
  <c r="Q168" i="4"/>
  <c r="R168" i="4" s="1"/>
  <c r="Q169" i="4"/>
  <c r="R169" i="4" s="1"/>
  <c r="T169" i="4" s="1"/>
  <c r="Q170" i="4"/>
  <c r="R170" i="4" s="1"/>
  <c r="Q171" i="4"/>
  <c r="Q172" i="4"/>
  <c r="R172" i="4" s="1"/>
  <c r="Q173" i="4"/>
  <c r="Q174" i="4"/>
  <c r="Q175" i="4"/>
  <c r="Q176" i="4"/>
  <c r="Q177" i="4"/>
  <c r="Q178" i="4"/>
  <c r="Q179" i="4"/>
  <c r="R179" i="4" s="1"/>
  <c r="T179" i="4" s="1"/>
  <c r="Q180" i="4"/>
  <c r="R180" i="4" s="1"/>
  <c r="T180" i="4" s="1"/>
  <c r="Q181" i="4"/>
  <c r="R181" i="4" s="1"/>
  <c r="T181" i="4" s="1"/>
  <c r="Q182" i="4"/>
  <c r="R182" i="4" s="1"/>
  <c r="T182" i="4" s="1"/>
  <c r="Q183" i="4"/>
  <c r="R183" i="4" s="1"/>
  <c r="T183" i="4" s="1"/>
  <c r="Q184" i="4"/>
  <c r="R184" i="4" s="1"/>
  <c r="T184" i="4" s="1"/>
  <c r="Q185" i="4"/>
  <c r="Q186" i="4"/>
  <c r="Q187" i="4"/>
  <c r="Q188" i="4"/>
  <c r="Q189" i="4"/>
  <c r="Q190" i="4"/>
  <c r="Q191" i="4"/>
  <c r="Q192" i="4"/>
  <c r="Q193" i="4"/>
  <c r="Q194" i="4"/>
  <c r="Q195" i="4"/>
  <c r="R195" i="4" s="1"/>
  <c r="Q196" i="4"/>
  <c r="Q197" i="4"/>
  <c r="R197" i="4" s="1"/>
  <c r="Q198" i="4"/>
  <c r="R198" i="4" s="1"/>
  <c r="Q199" i="4"/>
  <c r="R199" i="4" s="1"/>
  <c r="Q200" i="4"/>
  <c r="R200" i="4" s="1"/>
  <c r="Q201" i="4"/>
  <c r="R201" i="4" s="1"/>
  <c r="T201" i="4" s="1"/>
  <c r="Q202" i="4"/>
  <c r="R202" i="4" s="1"/>
  <c r="Q203" i="4"/>
  <c r="R203" i="4" s="1"/>
  <c r="T203" i="4" s="1"/>
  <c r="Q204" i="4"/>
  <c r="Q205" i="4"/>
  <c r="Q206" i="4"/>
  <c r="Q207" i="4"/>
  <c r="Q208" i="4"/>
  <c r="Q209" i="4"/>
  <c r="Q210" i="4"/>
  <c r="Q211" i="4"/>
  <c r="R211" i="4" s="1"/>
  <c r="T211" i="4" s="1"/>
  <c r="Q212" i="4"/>
  <c r="R212" i="4" s="1"/>
  <c r="T212" i="4" s="1"/>
  <c r="Q213" i="4"/>
  <c r="R213" i="4" s="1"/>
  <c r="T213" i="4" s="1"/>
  <c r="Q214" i="4"/>
  <c r="R214" i="4" s="1"/>
  <c r="T214" i="4" s="1"/>
  <c r="Q215" i="4"/>
  <c r="R215" i="4" s="1"/>
  <c r="T215" i="4" s="1"/>
  <c r="Q216" i="4"/>
  <c r="R216" i="4" s="1"/>
  <c r="T216" i="4" s="1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R229" i="4" s="1"/>
  <c r="Q230" i="4"/>
  <c r="R230" i="4" s="1"/>
  <c r="Q231" i="4"/>
  <c r="R231" i="4" s="1"/>
  <c r="Q232" i="4"/>
  <c r="R232" i="4" s="1"/>
  <c r="Q233" i="4"/>
  <c r="R233" i="4" s="1"/>
  <c r="T233" i="4" s="1"/>
  <c r="Q234" i="4"/>
  <c r="R234" i="4" s="1"/>
  <c r="Q235" i="4"/>
  <c r="R235" i="4" s="1"/>
  <c r="T235" i="4" s="1"/>
  <c r="Q236" i="4"/>
  <c r="Q237" i="4"/>
  <c r="Q238" i="4"/>
  <c r="Q239" i="4"/>
  <c r="Q240" i="4"/>
  <c r="Q241" i="4"/>
  <c r="Q242" i="4"/>
  <c r="Q243" i="4"/>
  <c r="Q244" i="4"/>
  <c r="R244" i="4" s="1"/>
  <c r="T244" i="4" s="1"/>
  <c r="Q245" i="4"/>
  <c r="R245" i="4" s="1"/>
  <c r="T245" i="4" s="1"/>
  <c r="Q246" i="4"/>
  <c r="R246" i="4" s="1"/>
  <c r="T246" i="4" s="1"/>
  <c r="Q247" i="4"/>
  <c r="R247" i="4" s="1"/>
  <c r="T247" i="4" s="1"/>
  <c r="Q248" i="4"/>
  <c r="R248" i="4" s="1"/>
  <c r="T248" i="4" s="1"/>
  <c r="Q249" i="4"/>
  <c r="Q250" i="4"/>
  <c r="R250" i="4" s="1"/>
  <c r="T250" i="4" s="1"/>
  <c r="Q251" i="4"/>
  <c r="Q252" i="4"/>
  <c r="Q253" i="4"/>
  <c r="Q254" i="4"/>
  <c r="Q255" i="4"/>
  <c r="Q256" i="4"/>
  <c r="Q257" i="4"/>
  <c r="Q258" i="4"/>
  <c r="Q259" i="4"/>
  <c r="Q260" i="4"/>
  <c r="Q261" i="4"/>
  <c r="R261" i="4" s="1"/>
  <c r="Q262" i="4"/>
  <c r="R262" i="4" s="1"/>
  <c r="Q263" i="4"/>
  <c r="R263" i="4" s="1"/>
  <c r="Q264" i="4"/>
  <c r="R264" i="4" s="1"/>
  <c r="Q265" i="4"/>
  <c r="R265" i="4" s="1"/>
  <c r="T265" i="4" s="1"/>
  <c r="Q266" i="4"/>
  <c r="R266" i="4" s="1"/>
  <c r="Q267" i="4"/>
  <c r="R267" i="4" s="1"/>
  <c r="T267" i="4" s="1"/>
  <c r="Q268" i="4"/>
  <c r="R268" i="4" s="1"/>
  <c r="Q269" i="4"/>
  <c r="Q270" i="4"/>
  <c r="Q271" i="4"/>
  <c r="R271" i="4" s="1"/>
  <c r="T271" i="4" s="1"/>
  <c r="Q272" i="4"/>
  <c r="Q273" i="4"/>
  <c r="Q274" i="4"/>
  <c r="Q275" i="4"/>
  <c r="R275" i="4" s="1"/>
  <c r="T275" i="4" s="1"/>
  <c r="Q276" i="4"/>
  <c r="R276" i="4" s="1"/>
  <c r="T276" i="4" s="1"/>
  <c r="Q277" i="4"/>
  <c r="R277" i="4" s="1"/>
  <c r="T277" i="4" s="1"/>
  <c r="Q278" i="4"/>
  <c r="R278" i="4" s="1"/>
  <c r="T278" i="4" s="1"/>
  <c r="Q279" i="4"/>
  <c r="R279" i="4" s="1"/>
  <c r="T279" i="4" s="1"/>
  <c r="Q280" i="4"/>
  <c r="R280" i="4" s="1"/>
  <c r="T280" i="4" s="1"/>
  <c r="Q281" i="4"/>
  <c r="Q282" i="4"/>
  <c r="R282" i="4" s="1"/>
  <c r="T282" i="4" s="1"/>
  <c r="Q283" i="4"/>
  <c r="Q284" i="4"/>
  <c r="Q285" i="4"/>
  <c r="Q286" i="4"/>
  <c r="Q287" i="4"/>
  <c r="Q288" i="4"/>
  <c r="R288" i="4" s="1"/>
  <c r="T288" i="4" s="1"/>
  <c r="Q289" i="4"/>
  <c r="Q290" i="4"/>
  <c r="Q291" i="4"/>
  <c r="Q292" i="4"/>
  <c r="Q293" i="4"/>
  <c r="Q294" i="4"/>
  <c r="R294" i="4" s="1"/>
  <c r="Q295" i="4"/>
  <c r="R295" i="4" s="1"/>
  <c r="Q296" i="4"/>
  <c r="R296" i="4" s="1"/>
  <c r="Q297" i="4"/>
  <c r="R297" i="4" s="1"/>
  <c r="T297" i="4" s="1"/>
  <c r="Q298" i="4"/>
  <c r="R298" i="4" s="1"/>
  <c r="Q299" i="4"/>
  <c r="R299" i="4" s="1"/>
  <c r="T299" i="4" s="1"/>
  <c r="Q300" i="4"/>
  <c r="R300" i="4" s="1"/>
  <c r="Q301" i="4"/>
  <c r="Q302" i="4"/>
  <c r="Q303" i="4"/>
  <c r="Q304" i="4"/>
  <c r="R304" i="4" s="1"/>
  <c r="T304" i="4" s="1"/>
  <c r="Q305" i="4"/>
  <c r="R305" i="4" s="1"/>
  <c r="T305" i="4" s="1"/>
  <c r="Q306" i="4"/>
  <c r="R306" i="4" s="1"/>
  <c r="Q307" i="4"/>
  <c r="R307" i="4" s="1"/>
  <c r="T307" i="4" s="1"/>
  <c r="Q308" i="4"/>
  <c r="R308" i="4" s="1"/>
  <c r="T308" i="4" s="1"/>
  <c r="Q309" i="4"/>
  <c r="R309" i="4" s="1"/>
  <c r="T309" i="4" s="1"/>
  <c r="Q310" i="4"/>
  <c r="R310" i="4" s="1"/>
  <c r="T310" i="4" s="1"/>
  <c r="Q311" i="4"/>
  <c r="R311" i="4" s="1"/>
  <c r="T311" i="4" s="1"/>
  <c r="Q312" i="4"/>
  <c r="R312" i="4" s="1"/>
  <c r="T312" i="4" s="1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R328" i="4" s="1"/>
  <c r="Q329" i="4"/>
  <c r="R329" i="4" s="1"/>
  <c r="T329" i="4" s="1"/>
  <c r="Q330" i="4"/>
  <c r="R330" i="4" s="1"/>
  <c r="Q331" i="4"/>
  <c r="R331" i="4" s="1"/>
  <c r="T331" i="4" s="1"/>
  <c r="Q332" i="4"/>
  <c r="R332" i="4" s="1"/>
  <c r="Q333" i="4"/>
  <c r="R333" i="4" s="1"/>
  <c r="T333" i="4" s="1"/>
  <c r="Q334" i="4"/>
  <c r="Q335" i="4"/>
  <c r="Q336" i="4"/>
  <c r="Q337" i="4"/>
  <c r="R337" i="4" s="1"/>
  <c r="T337" i="4" s="1"/>
  <c r="Q338" i="4"/>
  <c r="R338" i="4" s="1"/>
  <c r="Q339" i="4"/>
  <c r="R339" i="4" s="1"/>
  <c r="T339" i="4" s="1"/>
  <c r="Q340" i="4"/>
  <c r="R340" i="4" s="1"/>
  <c r="T340" i="4" s="1"/>
  <c r="Q341" i="4"/>
  <c r="R341" i="4" s="1"/>
  <c r="T341" i="4" s="1"/>
  <c r="Q342" i="4"/>
  <c r="R342" i="4" s="1"/>
  <c r="T342" i="4" s="1"/>
  <c r="Q343" i="4"/>
  <c r="R343" i="4" s="1"/>
  <c r="T343" i="4" s="1"/>
  <c r="Q344" i="4"/>
  <c r="R344" i="4" s="1"/>
  <c r="T344" i="4" s="1"/>
  <c r="Q345" i="4"/>
  <c r="Q346" i="4"/>
  <c r="R346" i="4" s="1"/>
  <c r="T346" i="4" s="1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R360" i="4" s="1"/>
  <c r="Q361" i="4"/>
  <c r="R361" i="4" s="1"/>
  <c r="T361" i="4" s="1"/>
  <c r="Q362" i="4"/>
  <c r="R362" i="4" s="1"/>
  <c r="Q363" i="4"/>
  <c r="R363" i="4" s="1"/>
  <c r="T363" i="4" s="1"/>
  <c r="Q364" i="4"/>
  <c r="R364" i="4" s="1"/>
  <c r="Q365" i="4"/>
  <c r="R365" i="4" s="1"/>
  <c r="T365" i="4" s="1"/>
  <c r="Q366" i="4"/>
  <c r="Q367" i="4"/>
  <c r="Q368" i="4"/>
  <c r="Q369" i="4"/>
  <c r="R369" i="4" s="1"/>
  <c r="T369" i="4" s="1"/>
  <c r="Q370" i="4"/>
  <c r="R370" i="4" s="1"/>
  <c r="Q371" i="4"/>
  <c r="R371" i="4" s="1"/>
  <c r="T371" i="4" s="1"/>
  <c r="Q372" i="4"/>
  <c r="R372" i="4" s="1"/>
  <c r="T372" i="4" s="1"/>
  <c r="Q373" i="4"/>
  <c r="R373" i="4" s="1"/>
  <c r="T373" i="4" s="1"/>
  <c r="Q374" i="4"/>
  <c r="R374" i="4" s="1"/>
  <c r="T374" i="4" s="1"/>
  <c r="Q375" i="4"/>
  <c r="R375" i="4" s="1"/>
  <c r="T375" i="4" s="1"/>
  <c r="Q376" i="4"/>
  <c r="R376" i="4" s="1"/>
  <c r="T376" i="4" s="1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R392" i="4" s="1"/>
  <c r="Q393" i="4"/>
  <c r="R393" i="4" s="1"/>
  <c r="T393" i="4" s="1"/>
  <c r="Q394" i="4"/>
  <c r="R394" i="4" s="1"/>
  <c r="Q395" i="4"/>
  <c r="R395" i="4" s="1"/>
  <c r="T395" i="4" s="1"/>
  <c r="Q396" i="4"/>
  <c r="R396" i="4" s="1"/>
  <c r="Q397" i="4"/>
  <c r="R397" i="4" s="1"/>
  <c r="T397" i="4" s="1"/>
  <c r="Q398" i="4"/>
  <c r="Q399" i="4"/>
  <c r="Q400" i="4"/>
  <c r="Q401" i="4"/>
  <c r="R401" i="4" s="1"/>
  <c r="T401" i="4" s="1"/>
  <c r="Q402" i="4"/>
  <c r="R402" i="4" s="1"/>
  <c r="T402" i="4" s="1"/>
  <c r="Q403" i="4"/>
  <c r="R403" i="4" s="1"/>
  <c r="T403" i="4" s="1"/>
  <c r="Q404" i="4"/>
  <c r="R404" i="4" s="1"/>
  <c r="T404" i="4" s="1"/>
  <c r="Q405" i="4"/>
  <c r="R405" i="4" s="1"/>
  <c r="Q406" i="4"/>
  <c r="R406" i="4" s="1"/>
  <c r="T406" i="4" s="1"/>
  <c r="Q407" i="4"/>
  <c r="R407" i="4" s="1"/>
  <c r="T407" i="4" s="1"/>
  <c r="Q408" i="4"/>
  <c r="R408" i="4" s="1"/>
  <c r="T408" i="4" s="1"/>
  <c r="Q409" i="4"/>
  <c r="Q410" i="4"/>
  <c r="R410" i="4" s="1"/>
  <c r="T410" i="4" s="1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R424" i="4" s="1"/>
  <c r="Q425" i="4"/>
  <c r="R425" i="4" s="1"/>
  <c r="T425" i="4" s="1"/>
  <c r="Q426" i="4"/>
  <c r="R426" i="4" s="1"/>
  <c r="Q427" i="4"/>
  <c r="R427" i="4" s="1"/>
  <c r="T427" i="4" s="1"/>
  <c r="Q428" i="4"/>
  <c r="R428" i="4" s="1"/>
  <c r="Q429" i="4"/>
  <c r="R429" i="4" s="1"/>
  <c r="T429" i="4" s="1"/>
  <c r="Q430" i="4"/>
  <c r="Q431" i="4"/>
  <c r="Q432" i="4"/>
  <c r="Q433" i="4"/>
  <c r="Q434" i="4"/>
  <c r="R434" i="4" s="1"/>
  <c r="T434" i="4" s="1"/>
  <c r="Q435" i="4"/>
  <c r="R435" i="4" s="1"/>
  <c r="T435" i="4" s="1"/>
  <c r="Q436" i="4"/>
  <c r="R436" i="4" s="1"/>
  <c r="T436" i="4" s="1"/>
  <c r="Q437" i="4"/>
  <c r="R437" i="4" s="1"/>
  <c r="T437" i="4" s="1"/>
  <c r="Q438" i="4"/>
  <c r="R438" i="4" s="1"/>
  <c r="T438" i="4" s="1"/>
  <c r="Q439" i="4"/>
  <c r="R439" i="4" s="1"/>
  <c r="T439" i="4" s="1"/>
  <c r="Q440" i="4"/>
  <c r="R440" i="4" s="1"/>
  <c r="T440" i="4" s="1"/>
  <c r="Q441" i="4"/>
  <c r="Q442" i="4"/>
  <c r="R442" i="4" s="1"/>
  <c r="T442" i="4" s="1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R457" i="4" s="1"/>
  <c r="T457" i="4" s="1"/>
  <c r="Q458" i="4"/>
  <c r="R458" i="4" s="1"/>
  <c r="Q459" i="4"/>
  <c r="R459" i="4" s="1"/>
  <c r="T459" i="4" s="1"/>
  <c r="Q460" i="4"/>
  <c r="R460" i="4" s="1"/>
  <c r="Q461" i="4"/>
  <c r="R461" i="4" s="1"/>
  <c r="T461" i="4" s="1"/>
  <c r="Q462" i="4"/>
  <c r="R462" i="4" s="1"/>
  <c r="T462" i="4" s="1"/>
  <c r="Q463" i="4"/>
  <c r="Q464" i="4"/>
  <c r="Q465" i="4"/>
  <c r="Q466" i="4"/>
  <c r="R466" i="4" s="1"/>
  <c r="T466" i="4" s="1"/>
  <c r="Q467" i="4"/>
  <c r="R467" i="4" s="1"/>
  <c r="T467" i="4" s="1"/>
  <c r="Q468" i="4"/>
  <c r="R468" i="4" s="1"/>
  <c r="T468" i="4" s="1"/>
  <c r="Q469" i="4"/>
  <c r="R469" i="4" s="1"/>
  <c r="T469" i="4" s="1"/>
  <c r="Q470" i="4"/>
  <c r="R470" i="4" s="1"/>
  <c r="T470" i="4" s="1"/>
  <c r="Q471" i="4"/>
  <c r="R471" i="4" s="1"/>
  <c r="T471" i="4" s="1"/>
  <c r="Q472" i="4"/>
  <c r="R472" i="4" s="1"/>
  <c r="T472" i="4" s="1"/>
  <c r="Q473" i="4"/>
  <c r="Q474" i="4"/>
  <c r="R474" i="4" s="1"/>
  <c r="T474" i="4" s="1"/>
  <c r="Q475" i="4"/>
  <c r="Q476" i="4"/>
  <c r="Q477" i="4"/>
  <c r="Q478" i="4"/>
  <c r="R478" i="4" s="1"/>
  <c r="T478" i="4" s="1"/>
  <c r="Q479" i="4"/>
  <c r="Q480" i="4"/>
  <c r="Q481" i="4"/>
  <c r="Q482" i="4"/>
  <c r="Q483" i="4"/>
  <c r="Q484" i="4"/>
  <c r="Q485" i="4"/>
  <c r="Q486" i="4"/>
  <c r="Q487" i="4"/>
  <c r="Q488" i="4"/>
  <c r="Q489" i="4"/>
  <c r="R489" i="4" s="1"/>
  <c r="T489" i="4" s="1"/>
  <c r="Q490" i="4"/>
  <c r="R490" i="4" s="1"/>
  <c r="Q491" i="4"/>
  <c r="R491" i="4" s="1"/>
  <c r="T491" i="4" s="1"/>
  <c r="Q492" i="4"/>
  <c r="R492" i="4" s="1"/>
  <c r="Q493" i="4"/>
  <c r="R493" i="4" s="1"/>
  <c r="T493" i="4" s="1"/>
  <c r="Q494" i="4"/>
  <c r="R494" i="4" s="1"/>
  <c r="T494" i="4" s="1"/>
  <c r="Q495" i="4"/>
  <c r="R495" i="4" s="1"/>
  <c r="T495" i="4" s="1"/>
  <c r="Q496" i="4"/>
  <c r="Q497" i="4"/>
  <c r="Q498" i="4"/>
  <c r="R498" i="4" s="1"/>
  <c r="T498" i="4" s="1"/>
  <c r="Q499" i="4"/>
  <c r="R499" i="4" s="1"/>
  <c r="T499" i="4" s="1"/>
  <c r="Q500" i="4"/>
  <c r="R500" i="4" s="1"/>
  <c r="T500" i="4" s="1"/>
  <c r="Q501" i="4"/>
  <c r="R501" i="4" s="1"/>
  <c r="T501" i="4" s="1"/>
  <c r="Q502" i="4"/>
  <c r="R502" i="4" s="1"/>
  <c r="T502" i="4" s="1"/>
  <c r="Q503" i="4"/>
  <c r="R503" i="4" s="1"/>
  <c r="T503" i="4" s="1"/>
  <c r="Q504" i="4"/>
  <c r="R504" i="4" s="1"/>
  <c r="T504" i="4" s="1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R522" i="4" s="1"/>
  <c r="Q523" i="4"/>
  <c r="R523" i="4" s="1"/>
  <c r="T523" i="4" s="1"/>
  <c r="Q524" i="4"/>
  <c r="R524" i="4" s="1"/>
  <c r="Q525" i="4"/>
  <c r="Q526" i="4"/>
  <c r="R526" i="4" s="1"/>
  <c r="T526" i="4" s="1"/>
  <c r="Q527" i="4"/>
  <c r="R527" i="4" s="1"/>
  <c r="T527" i="4" s="1"/>
  <c r="Q528" i="4"/>
  <c r="Q529" i="4"/>
  <c r="Q530" i="4"/>
  <c r="R530" i="4" s="1"/>
  <c r="T530" i="4" s="1"/>
  <c r="Q531" i="4"/>
  <c r="R531" i="4" s="1"/>
  <c r="T531" i="4" s="1"/>
  <c r="Q532" i="4"/>
  <c r="R532" i="4" s="1"/>
  <c r="T532" i="4" s="1"/>
  <c r="Q533" i="4"/>
  <c r="R533" i="4" s="1"/>
  <c r="T533" i="4" s="1"/>
  <c r="Q534" i="4"/>
  <c r="R534" i="4" s="1"/>
  <c r="T534" i="4" s="1"/>
  <c r="Q535" i="4"/>
  <c r="R535" i="4" s="1"/>
  <c r="T535" i="4" s="1"/>
  <c r="Q536" i="4"/>
  <c r="R536" i="4" s="1"/>
  <c r="T536" i="4" s="1"/>
  <c r="Q537" i="4"/>
  <c r="Q538" i="4"/>
  <c r="R538" i="4" s="1"/>
  <c r="T538" i="4" s="1"/>
  <c r="Q539" i="4"/>
  <c r="Q540" i="4"/>
  <c r="Q541" i="4"/>
  <c r="Q542" i="4"/>
  <c r="R542" i="4" s="1"/>
  <c r="T542" i="4" s="1"/>
  <c r="Q543" i="4"/>
  <c r="R543" i="4" s="1"/>
  <c r="T543" i="4" s="1"/>
  <c r="Q544" i="4"/>
  <c r="R544" i="4" s="1"/>
  <c r="T544" i="4" s="1"/>
  <c r="Q545" i="4"/>
  <c r="Q546" i="4"/>
  <c r="Q547" i="4"/>
  <c r="Q548" i="4"/>
  <c r="Q549" i="4"/>
  <c r="Q550" i="4"/>
  <c r="Q551" i="4"/>
  <c r="Q552" i="4"/>
  <c r="Q553" i="4"/>
  <c r="Q554" i="4"/>
  <c r="Q555" i="4"/>
  <c r="R555" i="4" s="1"/>
  <c r="T555" i="4" s="1"/>
  <c r="Q556" i="4"/>
  <c r="R556" i="4" s="1"/>
  <c r="Q557" i="4"/>
  <c r="Q558" i="4"/>
  <c r="R558" i="4" s="1"/>
  <c r="T558" i="4" s="1"/>
  <c r="Q559" i="4"/>
  <c r="R559" i="4" s="1"/>
  <c r="T559" i="4" s="1"/>
  <c r="Q560" i="4"/>
  <c r="R560" i="4" s="1"/>
  <c r="T560" i="4" s="1"/>
  <c r="Q561" i="4"/>
  <c r="Q562" i="4"/>
  <c r="R562" i="4" s="1"/>
  <c r="T562" i="4" s="1"/>
  <c r="Q563" i="4"/>
  <c r="R563" i="4" s="1"/>
  <c r="T563" i="4" s="1"/>
  <c r="Q564" i="4"/>
  <c r="R564" i="4" s="1"/>
  <c r="T564" i="4" s="1"/>
  <c r="Q565" i="4"/>
  <c r="R565" i="4" s="1"/>
  <c r="T565" i="4" s="1"/>
  <c r="Q566" i="4"/>
  <c r="R566" i="4" s="1"/>
  <c r="T566" i="4" s="1"/>
  <c r="Q567" i="4"/>
  <c r="Q568" i="4"/>
  <c r="R568" i="4" s="1"/>
  <c r="T568" i="4" s="1"/>
  <c r="Q569" i="4"/>
  <c r="Q570" i="4"/>
  <c r="Q24" i="4"/>
  <c r="R6" i="4"/>
  <c r="T6" i="4"/>
  <c r="R7" i="4"/>
  <c r="T7" i="4"/>
  <c r="R8" i="4"/>
  <c r="R9" i="4"/>
  <c r="T9" i="4"/>
  <c r="R10" i="4"/>
  <c r="R11" i="4"/>
  <c r="R12" i="4"/>
  <c r="R13" i="4"/>
  <c r="T13" i="4"/>
  <c r="R14" i="4"/>
  <c r="T14" i="4"/>
  <c r="R15" i="4"/>
  <c r="T15" i="4"/>
  <c r="R16" i="4"/>
  <c r="T16" i="4"/>
  <c r="R17" i="4"/>
  <c r="R18" i="4"/>
  <c r="T18" i="4"/>
  <c r="R19" i="4"/>
  <c r="T19" i="4" s="1"/>
  <c r="R20" i="4"/>
  <c r="T20" i="4"/>
  <c r="R21" i="4"/>
  <c r="T21" i="4" s="1"/>
  <c r="R22" i="4"/>
  <c r="T22" i="4"/>
  <c r="R23" i="4"/>
  <c r="T23" i="4"/>
  <c r="R24" i="4"/>
  <c r="T24" i="4" s="1"/>
  <c r="R25" i="4"/>
  <c r="T25" i="4" s="1"/>
  <c r="R26" i="4"/>
  <c r="T26" i="4"/>
  <c r="R27" i="4"/>
  <c r="R28" i="4"/>
  <c r="R29" i="4"/>
  <c r="R30" i="4"/>
  <c r="R31" i="4"/>
  <c r="R32" i="4"/>
  <c r="R33" i="4"/>
  <c r="R34" i="4"/>
  <c r="R36" i="4"/>
  <c r="R37" i="4"/>
  <c r="T37" i="4"/>
  <c r="R43" i="4"/>
  <c r="T43" i="4" s="1"/>
  <c r="R45" i="4"/>
  <c r="T45" i="4"/>
  <c r="R46" i="4"/>
  <c r="T46" i="4"/>
  <c r="R47" i="4"/>
  <c r="T47" i="4"/>
  <c r="R48" i="4"/>
  <c r="T48" i="4" s="1"/>
  <c r="R57" i="4"/>
  <c r="T57" i="4" s="1"/>
  <c r="R58" i="4"/>
  <c r="T58" i="4" s="1"/>
  <c r="R59" i="4"/>
  <c r="R60" i="4"/>
  <c r="R61" i="4"/>
  <c r="R62" i="4"/>
  <c r="T62" i="4"/>
  <c r="R63" i="4"/>
  <c r="T63" i="4" s="1"/>
  <c r="R64" i="4"/>
  <c r="R65" i="4"/>
  <c r="R66" i="4"/>
  <c r="R68" i="4"/>
  <c r="R73" i="4"/>
  <c r="R74" i="4"/>
  <c r="R77" i="4"/>
  <c r="R78" i="4"/>
  <c r="T78" i="4"/>
  <c r="R79" i="4"/>
  <c r="T79" i="4"/>
  <c r="R89" i="4"/>
  <c r="T89" i="4" s="1"/>
  <c r="R90" i="4"/>
  <c r="T90" i="4" s="1"/>
  <c r="R91" i="4"/>
  <c r="R92" i="4"/>
  <c r="R93" i="4"/>
  <c r="R94" i="4"/>
  <c r="R95" i="4"/>
  <c r="R96" i="4"/>
  <c r="R97" i="4"/>
  <c r="R98" i="4"/>
  <c r="T98" i="4"/>
  <c r="R100" i="4"/>
  <c r="T100" i="4" s="1"/>
  <c r="R101" i="4"/>
  <c r="T101" i="4" s="1"/>
  <c r="R107" i="4"/>
  <c r="T107" i="4" s="1"/>
  <c r="R109" i="4"/>
  <c r="T109" i="4"/>
  <c r="R110" i="4"/>
  <c r="R111" i="4"/>
  <c r="R112" i="4"/>
  <c r="R121" i="4"/>
  <c r="T121" i="4" s="1"/>
  <c r="R122" i="4"/>
  <c r="T122" i="4"/>
  <c r="R123" i="4"/>
  <c r="R124" i="4"/>
  <c r="R125" i="4"/>
  <c r="R126" i="4"/>
  <c r="R127" i="4"/>
  <c r="R128" i="4"/>
  <c r="R129" i="4"/>
  <c r="R130" i="4"/>
  <c r="R132" i="4"/>
  <c r="R133" i="4"/>
  <c r="T133" i="4" s="1"/>
  <c r="R139" i="4"/>
  <c r="T139" i="4" s="1"/>
  <c r="R141" i="4"/>
  <c r="T141" i="4"/>
  <c r="R142" i="4"/>
  <c r="T142" i="4"/>
  <c r="R143" i="4"/>
  <c r="T143" i="4"/>
  <c r="R144" i="4"/>
  <c r="T144" i="4" s="1"/>
  <c r="R145" i="4"/>
  <c r="T145" i="4" s="1"/>
  <c r="R153" i="4"/>
  <c r="T153" i="4" s="1"/>
  <c r="R154" i="4"/>
  <c r="T154" i="4"/>
  <c r="R155" i="4"/>
  <c r="R156" i="4"/>
  <c r="R157" i="4"/>
  <c r="R158" i="4"/>
  <c r="R159" i="4"/>
  <c r="R160" i="4"/>
  <c r="R161" i="4"/>
  <c r="R162" i="4"/>
  <c r="R164" i="4"/>
  <c r="R171" i="4"/>
  <c r="T171" i="4" s="1"/>
  <c r="R173" i="4"/>
  <c r="T173" i="4"/>
  <c r="R174" i="4"/>
  <c r="T174" i="4"/>
  <c r="R175" i="4"/>
  <c r="T175" i="4"/>
  <c r="R176" i="4"/>
  <c r="T176" i="4" s="1"/>
  <c r="R177" i="4"/>
  <c r="T177" i="4" s="1"/>
  <c r="R178" i="4"/>
  <c r="T178" i="4" s="1"/>
  <c r="R185" i="4"/>
  <c r="T185" i="4" s="1"/>
  <c r="R186" i="4"/>
  <c r="T186" i="4"/>
  <c r="R187" i="4"/>
  <c r="R188" i="4"/>
  <c r="R189" i="4"/>
  <c r="R190" i="4"/>
  <c r="T190" i="4"/>
  <c r="R191" i="4"/>
  <c r="T191" i="4" s="1"/>
  <c r="R192" i="4"/>
  <c r="R193" i="4"/>
  <c r="R194" i="4"/>
  <c r="R196" i="4"/>
  <c r="R204" i="4"/>
  <c r="R205" i="4"/>
  <c r="R206" i="4"/>
  <c r="T206" i="4"/>
  <c r="R207" i="4"/>
  <c r="T207" i="4"/>
  <c r="R208" i="4"/>
  <c r="T208" i="4" s="1"/>
  <c r="R209" i="4"/>
  <c r="T209" i="4" s="1"/>
  <c r="R210" i="4"/>
  <c r="T210" i="4" s="1"/>
  <c r="R217" i="4"/>
  <c r="T217" i="4" s="1"/>
  <c r="R218" i="4"/>
  <c r="T218" i="4"/>
  <c r="R219" i="4"/>
  <c r="R220" i="4"/>
  <c r="R221" i="4"/>
  <c r="R222" i="4"/>
  <c r="R223" i="4"/>
  <c r="R224" i="4"/>
  <c r="R225" i="4"/>
  <c r="T225" i="4"/>
  <c r="R226" i="4"/>
  <c r="T226" i="4"/>
  <c r="R227" i="4"/>
  <c r="T227" i="4" s="1"/>
  <c r="R228" i="4"/>
  <c r="R236" i="4"/>
  <c r="R237" i="4"/>
  <c r="R238" i="4"/>
  <c r="R239" i="4"/>
  <c r="R240" i="4"/>
  <c r="R241" i="4"/>
  <c r="R242" i="4"/>
  <c r="T242" i="4"/>
  <c r="R243" i="4"/>
  <c r="T243" i="4" s="1"/>
  <c r="R249" i="4"/>
  <c r="T249" i="4" s="1"/>
  <c r="R251" i="4"/>
  <c r="R252" i="4"/>
  <c r="R253" i="4"/>
  <c r="R254" i="4"/>
  <c r="R255" i="4"/>
  <c r="R256" i="4"/>
  <c r="R257" i="4"/>
  <c r="R258" i="4"/>
  <c r="T258" i="4"/>
  <c r="R259" i="4"/>
  <c r="T259" i="4"/>
  <c r="R260" i="4"/>
  <c r="T260" i="4" s="1"/>
  <c r="R269" i="4"/>
  <c r="T269" i="4"/>
  <c r="R270" i="4"/>
  <c r="T270" i="4" s="1"/>
  <c r="R272" i="4"/>
  <c r="R273" i="4"/>
  <c r="R274" i="4"/>
  <c r="T274" i="4"/>
  <c r="R281" i="4"/>
  <c r="T281" i="4" s="1"/>
  <c r="R283" i="4"/>
  <c r="R284" i="4"/>
  <c r="R285" i="4"/>
  <c r="R286" i="4"/>
  <c r="R287" i="4"/>
  <c r="R289" i="4"/>
  <c r="R290" i="4"/>
  <c r="R291" i="4"/>
  <c r="R292" i="4"/>
  <c r="T292" i="4" s="1"/>
  <c r="R293" i="4"/>
  <c r="T293" i="4" s="1"/>
  <c r="R301" i="4"/>
  <c r="T301" i="4"/>
  <c r="R302" i="4"/>
  <c r="T302" i="4" s="1"/>
  <c r="R303" i="4"/>
  <c r="T303" i="4" s="1"/>
  <c r="R313" i="4"/>
  <c r="T313" i="4" s="1"/>
  <c r="R314" i="4"/>
  <c r="T314" i="4"/>
  <c r="R315" i="4"/>
  <c r="R316" i="4"/>
  <c r="R317" i="4"/>
  <c r="T317" i="4" s="1"/>
  <c r="R318" i="4"/>
  <c r="R319" i="4"/>
  <c r="R320" i="4"/>
  <c r="R321" i="4"/>
  <c r="R322" i="4"/>
  <c r="R323" i="4"/>
  <c r="R324" i="4"/>
  <c r="R325" i="4"/>
  <c r="T325" i="4" s="1"/>
  <c r="R326" i="4"/>
  <c r="R327" i="4"/>
  <c r="R334" i="4"/>
  <c r="T334" i="4"/>
  <c r="R335" i="4"/>
  <c r="T335" i="4"/>
  <c r="R336" i="4"/>
  <c r="R345" i="4"/>
  <c r="T345" i="4" s="1"/>
  <c r="R347" i="4"/>
  <c r="R348" i="4"/>
  <c r="R349" i="4"/>
  <c r="R350" i="4"/>
  <c r="R351" i="4"/>
  <c r="R352" i="4"/>
  <c r="T352" i="4" s="1"/>
  <c r="R353" i="4"/>
  <c r="T353" i="4"/>
  <c r="R354" i="4"/>
  <c r="T354" i="4" s="1"/>
  <c r="R355" i="4"/>
  <c r="R356" i="4"/>
  <c r="R357" i="4"/>
  <c r="R358" i="4"/>
  <c r="R359" i="4"/>
  <c r="R366" i="4"/>
  <c r="R367" i="4"/>
  <c r="T367" i="4"/>
  <c r="R368" i="4"/>
  <c r="T368" i="4" s="1"/>
  <c r="R377" i="4"/>
  <c r="T377" i="4" s="1"/>
  <c r="R378" i="4"/>
  <c r="T378" i="4"/>
  <c r="R379" i="4"/>
  <c r="R380" i="4"/>
  <c r="R381" i="4"/>
  <c r="R382" i="4"/>
  <c r="R383" i="4"/>
  <c r="R384" i="4"/>
  <c r="R385" i="4"/>
  <c r="R386" i="4"/>
  <c r="T386" i="4"/>
  <c r="R387" i="4"/>
  <c r="T387" i="4"/>
  <c r="R388" i="4"/>
  <c r="T388" i="4" s="1"/>
  <c r="R389" i="4"/>
  <c r="T389" i="4" s="1"/>
  <c r="R390" i="4"/>
  <c r="T390" i="4"/>
  <c r="R391" i="4"/>
  <c r="T391" i="4"/>
  <c r="R398" i="4"/>
  <c r="R399" i="4"/>
  <c r="R400" i="4"/>
  <c r="T405" i="4"/>
  <c r="R409" i="4"/>
  <c r="T409" i="4" s="1"/>
  <c r="R411" i="4"/>
  <c r="R412" i="4"/>
  <c r="R413" i="4"/>
  <c r="R414" i="4"/>
  <c r="R415" i="4"/>
  <c r="R416" i="4"/>
  <c r="R417" i="4"/>
  <c r="R418" i="4"/>
  <c r="R419" i="4"/>
  <c r="T419" i="4"/>
  <c r="R420" i="4"/>
  <c r="T420" i="4" s="1"/>
  <c r="R421" i="4"/>
  <c r="T421" i="4" s="1"/>
  <c r="R422" i="4"/>
  <c r="T422" i="4" s="1"/>
  <c r="R423" i="4"/>
  <c r="T423" i="4"/>
  <c r="R430" i="4"/>
  <c r="T430" i="4"/>
  <c r="R431" i="4"/>
  <c r="T431" i="4"/>
  <c r="R432" i="4"/>
  <c r="T432" i="4" s="1"/>
  <c r="R433" i="4"/>
  <c r="T433" i="4" s="1"/>
  <c r="R441" i="4"/>
  <c r="T441" i="4" s="1"/>
  <c r="R443" i="4"/>
  <c r="R444" i="4"/>
  <c r="R445" i="4"/>
  <c r="R446" i="4"/>
  <c r="R447" i="4"/>
  <c r="R448" i="4"/>
  <c r="R449" i="4"/>
  <c r="R450" i="4"/>
  <c r="R451" i="4"/>
  <c r="R452" i="4"/>
  <c r="T452" i="4" s="1"/>
  <c r="R453" i="4"/>
  <c r="T453" i="4" s="1"/>
  <c r="R454" i="4"/>
  <c r="R455" i="4"/>
  <c r="T455" i="4"/>
  <c r="R456" i="4"/>
  <c r="T456" i="4" s="1"/>
  <c r="R463" i="4"/>
  <c r="T463" i="4"/>
  <c r="R464" i="4"/>
  <c r="T464" i="4" s="1"/>
  <c r="R465" i="4"/>
  <c r="T465" i="4" s="1"/>
  <c r="R473" i="4"/>
  <c r="T473" i="4" s="1"/>
  <c r="R475" i="4"/>
  <c r="R476" i="4"/>
  <c r="R477" i="4"/>
  <c r="T477" i="4" s="1"/>
  <c r="R479" i="4"/>
  <c r="T479" i="4" s="1"/>
  <c r="R480" i="4"/>
  <c r="T480" i="4" s="1"/>
  <c r="R481" i="4"/>
  <c r="R482" i="4"/>
  <c r="R483" i="4"/>
  <c r="R484" i="4"/>
  <c r="R485" i="4"/>
  <c r="R486" i="4"/>
  <c r="R487" i="4"/>
  <c r="T487" i="4"/>
  <c r="R488" i="4"/>
  <c r="T488" i="4" s="1"/>
  <c r="R496" i="4"/>
  <c r="T496" i="4" s="1"/>
  <c r="R497" i="4"/>
  <c r="T497" i="4" s="1"/>
  <c r="R505" i="4"/>
  <c r="T505" i="4" s="1"/>
  <c r="R506" i="4"/>
  <c r="T506" i="4" s="1"/>
  <c r="R507" i="4"/>
  <c r="R508" i="4"/>
  <c r="R509" i="4"/>
  <c r="R510" i="4"/>
  <c r="R511" i="4"/>
  <c r="R512" i="4"/>
  <c r="R513" i="4"/>
  <c r="R514" i="4"/>
  <c r="T514" i="4"/>
  <c r="R515" i="4"/>
  <c r="T515" i="4" s="1"/>
  <c r="R516" i="4"/>
  <c r="T516" i="4" s="1"/>
  <c r="R517" i="4"/>
  <c r="T517" i="4" s="1"/>
  <c r="R518" i="4"/>
  <c r="T518" i="4"/>
  <c r="R519" i="4"/>
  <c r="R520" i="4"/>
  <c r="R521" i="4"/>
  <c r="T521" i="4" s="1"/>
  <c r="R525" i="4"/>
  <c r="R528" i="4"/>
  <c r="T528" i="4" s="1"/>
  <c r="R529" i="4"/>
  <c r="T529" i="4" s="1"/>
  <c r="R537" i="4"/>
  <c r="T537" i="4" s="1"/>
  <c r="R539" i="4"/>
  <c r="R540" i="4"/>
  <c r="R541" i="4"/>
  <c r="R545" i="4"/>
  <c r="R546" i="4"/>
  <c r="T546" i="4"/>
  <c r="R547" i="4"/>
  <c r="R548" i="4"/>
  <c r="T548" i="4" s="1"/>
  <c r="R549" i="4"/>
  <c r="T549" i="4" s="1"/>
  <c r="R550" i="4"/>
  <c r="T550" i="4"/>
  <c r="R551" i="4"/>
  <c r="T551" i="4"/>
  <c r="R552" i="4"/>
  <c r="T552" i="4" s="1"/>
  <c r="R553" i="4"/>
  <c r="T553" i="4" s="1"/>
  <c r="R554" i="4"/>
  <c r="T554" i="4" s="1"/>
  <c r="R557" i="4"/>
  <c r="T557" i="4"/>
  <c r="R561" i="4"/>
  <c r="T561" i="4" s="1"/>
  <c r="R567" i="4"/>
  <c r="T567" i="4" s="1"/>
  <c r="R569" i="4"/>
  <c r="T569" i="4" s="1"/>
  <c r="R570" i="4"/>
  <c r="T570" i="4" s="1"/>
  <c r="T5" i="4"/>
  <c r="R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" i="4"/>
  <c r="F117" i="3"/>
  <c r="F116" i="3"/>
  <c r="E115" i="3"/>
  <c r="D89" i="3"/>
  <c r="D100" i="3"/>
  <c r="D16" i="3"/>
  <c r="J89" i="2"/>
  <c r="K89" i="2"/>
  <c r="L89" i="2"/>
  <c r="K91" i="2"/>
  <c r="L91" i="2"/>
  <c r="M91" i="2"/>
  <c r="D74" i="2"/>
  <c r="D85" i="2"/>
  <c r="O45" i="1"/>
  <c r="P45" i="1"/>
  <c r="G45" i="1"/>
  <c r="Q45" i="1"/>
  <c r="R45" i="1"/>
  <c r="S45" i="1"/>
  <c r="T45" i="1"/>
  <c r="U45" i="1"/>
  <c r="V45" i="1"/>
  <c r="W45" i="1"/>
  <c r="X45" i="1"/>
  <c r="Y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B57" i="1" l="1"/>
  <c r="K54" i="1"/>
  <c r="K55" i="1" s="1"/>
  <c r="K56" i="1"/>
  <c r="J54" i="1"/>
  <c r="J55" i="1" s="1"/>
  <c r="J56" i="1"/>
  <c r="H54" i="1"/>
  <c r="H55" i="1" s="1"/>
  <c r="H56" i="1"/>
  <c r="F54" i="1"/>
  <c r="F55" i="1" s="1"/>
  <c r="F56" i="1"/>
  <c r="G54" i="1"/>
  <c r="G55" i="1" s="1"/>
  <c r="G56" i="1"/>
  <c r="D54" i="1"/>
  <c r="D55" i="1" s="1"/>
  <c r="D56" i="1"/>
  <c r="C54" i="1"/>
  <c r="C55" i="1" s="1"/>
  <c r="C56" i="1"/>
  <c r="B54" i="1"/>
  <c r="B55" i="1" s="1"/>
  <c r="B56" i="1"/>
  <c r="I52" i="1"/>
  <c r="I51" i="1"/>
  <c r="I53" i="1" s="1"/>
  <c r="I56" i="1" s="1"/>
  <c r="I54" i="1"/>
  <c r="I55" i="1" s="1"/>
  <c r="T349" i="4"/>
  <c r="T476" i="4"/>
  <c r="T61" i="4"/>
  <c r="T351" i="4"/>
  <c r="T512" i="4"/>
  <c r="T224" i="4"/>
  <c r="T223" i="4"/>
  <c r="T221" i="4"/>
  <c r="T511" i="4"/>
  <c r="T385" i="4"/>
  <c r="T256" i="4"/>
  <c r="T220" i="4"/>
  <c r="T96" i="4"/>
  <c r="T510" i="4"/>
  <c r="T384" i="4"/>
  <c r="T255" i="4"/>
  <c r="T315" i="4"/>
  <c r="T95" i="4"/>
  <c r="T188" i="4"/>
  <c r="T509" i="4"/>
  <c r="T383" i="4"/>
  <c r="T418" i="4"/>
  <c r="T132" i="4"/>
  <c r="T547" i="4"/>
  <c r="T336" i="4"/>
  <c r="T253" i="4"/>
  <c r="T130" i="4"/>
  <c r="T93" i="4"/>
  <c r="T17" i="4"/>
  <c r="T370" i="4"/>
  <c r="T338" i="4"/>
  <c r="T306" i="4"/>
  <c r="T146" i="4"/>
  <c r="T114" i="4"/>
  <c r="T82" i="4"/>
  <c r="T50" i="4"/>
  <c r="T507" i="4"/>
  <c r="T381" i="4"/>
  <c r="T416" i="4"/>
  <c r="T380" i="4"/>
  <c r="T80" i="4"/>
  <c r="T127" i="4"/>
  <c r="T541" i="4"/>
  <c r="T327" i="4"/>
  <c r="T450" i="4"/>
  <c r="T413" i="4"/>
  <c r="T287" i="4"/>
  <c r="T164" i="4"/>
  <c r="T36" i="4"/>
  <c r="T556" i="4"/>
  <c r="T524" i="4"/>
  <c r="T492" i="4"/>
  <c r="T460" i="4"/>
  <c r="T428" i="4"/>
  <c r="T396" i="4"/>
  <c r="T364" i="4"/>
  <c r="T332" i="4"/>
  <c r="T300" i="4"/>
  <c r="T268" i="4"/>
  <c r="T172" i="4"/>
  <c r="T140" i="4"/>
  <c r="T108" i="4"/>
  <c r="T76" i="4"/>
  <c r="T44" i="4"/>
  <c r="T189" i="4"/>
  <c r="T91" i="4"/>
  <c r="T125" i="4"/>
  <c r="T34" i="4"/>
  <c r="T379" i="4"/>
  <c r="T162" i="4"/>
  <c r="T285" i="4"/>
  <c r="T522" i="4"/>
  <c r="T490" i="4"/>
  <c r="T458" i="4"/>
  <c r="T394" i="4"/>
  <c r="T330" i="4"/>
  <c r="T202" i="4"/>
  <c r="T138" i="4"/>
  <c r="T106" i="4"/>
  <c r="T42" i="4"/>
  <c r="T170" i="4"/>
  <c r="T448" i="4"/>
  <c r="T324" i="4"/>
  <c r="T241" i="4"/>
  <c r="T128" i="4"/>
  <c r="T447" i="4"/>
  <c r="T240" i="4"/>
  <c r="T160" i="4"/>
  <c r="T123" i="4"/>
  <c r="T32" i="4"/>
  <c r="T424" i="4"/>
  <c r="T392" i="4"/>
  <c r="T360" i="4"/>
  <c r="T328" i="4"/>
  <c r="T296" i="4"/>
  <c r="T264" i="4"/>
  <c r="T232" i="4"/>
  <c r="T200" i="4"/>
  <c r="T168" i="4"/>
  <c r="T136" i="4"/>
  <c r="T104" i="4"/>
  <c r="T72" i="4"/>
  <c r="T40" i="4"/>
  <c r="T426" i="4"/>
  <c r="T485" i="4"/>
  <c r="T204" i="4"/>
  <c r="T159" i="4"/>
  <c r="T31" i="4"/>
  <c r="T295" i="4"/>
  <c r="T263" i="4"/>
  <c r="T231" i="4"/>
  <c r="T199" i="4"/>
  <c r="T167" i="4"/>
  <c r="T135" i="4"/>
  <c r="T103" i="4"/>
  <c r="T71" i="4"/>
  <c r="T39" i="4"/>
  <c r="T415" i="4"/>
  <c r="T359" i="4"/>
  <c r="T196" i="4"/>
  <c r="T74" i="4"/>
  <c r="T294" i="4"/>
  <c r="T262" i="4"/>
  <c r="T230" i="4"/>
  <c r="T198" i="4"/>
  <c r="T166" i="4"/>
  <c r="T134" i="4"/>
  <c r="T102" i="4"/>
  <c r="T70" i="4"/>
  <c r="T38" i="4"/>
  <c r="T484" i="4"/>
  <c r="T525" i="4"/>
  <c r="T445" i="4"/>
  <c r="T400" i="4"/>
  <c r="T73" i="4"/>
  <c r="T261" i="4"/>
  <c r="T229" i="4"/>
  <c r="T197" i="4"/>
  <c r="T165" i="4"/>
  <c r="T69" i="4"/>
  <c r="T234" i="4"/>
  <c r="T444" i="4"/>
  <c r="T321" i="4"/>
  <c r="T157" i="4"/>
  <c r="T112" i="4"/>
  <c r="T68" i="4"/>
  <c r="T29" i="4"/>
  <c r="T362" i="4"/>
  <c r="T520" i="4"/>
  <c r="T482" i="4"/>
  <c r="T357" i="4"/>
  <c r="T320" i="4"/>
  <c r="T237" i="4"/>
  <c r="T66" i="4"/>
  <c r="T195" i="4"/>
  <c r="T163" i="4"/>
  <c r="T131" i="4"/>
  <c r="T99" i="4"/>
  <c r="T67" i="4"/>
  <c r="T35" i="4"/>
  <c r="T298" i="4"/>
  <c r="T356" i="4"/>
  <c r="T319" i="4"/>
  <c r="T273" i="4"/>
  <c r="T236" i="4"/>
  <c r="T65" i="4"/>
  <c r="T286" i="4"/>
  <c r="T266" i="4"/>
  <c r="T272" i="4"/>
  <c r="T228" i="4"/>
  <c r="T192" i="4"/>
  <c r="T155" i="4"/>
  <c r="T64" i="4"/>
  <c r="T27" i="4"/>
</calcChain>
</file>

<file path=xl/sharedStrings.xml><?xml version="1.0" encoding="utf-8"?>
<sst xmlns="http://schemas.openxmlformats.org/spreadsheetml/2006/main" count="8881" uniqueCount="1624">
  <si>
    <t>5 year 38.27% -57.57%.log</t>
  </si>
  <si>
    <t>5 year 41.19% -48.96.log</t>
  </si>
  <si>
    <t>5 year 44.08% -39.52%.log</t>
  </si>
  <si>
    <t>5yr 32.23 -49.22 Stk below entry 20%.log</t>
  </si>
  <si>
    <t>5yr 44.57% -38.27 Stk below entry 30%.log</t>
  </si>
  <si>
    <t>Five year 29.48%.log</t>
  </si>
  <si>
    <t>Five year 49.30%.log</t>
  </si>
  <si>
    <t>two-year 43.86% .log</t>
  </si>
  <si>
    <t>16 years 12.56% -49.05%.log</t>
  </si>
  <si>
    <t>Run Date</t>
  </si>
  <si>
    <t>Log file</t>
  </si>
  <si>
    <t>📊 Account Simulation Rules</t>
  </si>
  <si>
    <t>🧩 Underlying Stock Rules</t>
  </si>
  <si>
    <t>📈 Entry Put Position Rules</t>
  </si>
  <si>
    <t>📉 Exit Put Position Rules</t>
  </si>
  <si>
    <t>💰 Trading Parameters</t>
  </si>
  <si>
    <t>📊 Final Performance</t>
  </si>
  <si>
    <t>--------------------</t>
  </si>
  <si>
    <t>----------------</t>
  </si>
  <si>
    <t xml:space="preserve">             80 </t>
  </si>
  <si>
    <t xml:space="preserve">              8 </t>
  </si>
  <si>
    <t>----------------------------</t>
  </si>
  <si>
    <t xml:space="preserve">          -5.0% </t>
  </si>
  <si>
    <t xml:space="preserve">           0.1% </t>
  </si>
  <si>
    <t xml:space="preserve">          40.0% </t>
  </si>
  <si>
    <t xml:space="preserve">           0.2% </t>
  </si>
  <si>
    <t xml:space="preserve"> $        14.00 </t>
  </si>
  <si>
    <t xml:space="preserve">              1 </t>
  </si>
  <si>
    <t xml:space="preserve">            300 </t>
  </si>
  <si>
    <t xml:space="preserve"> $         2.50 </t>
  </si>
  <si>
    <t xml:space="preserve">         -25.0% </t>
  </si>
  <si>
    <t xml:space="preserve">          -0.1% </t>
  </si>
  <si>
    <t xml:space="preserve">          25.0% </t>
  </si>
  <si>
    <t xml:space="preserve">           8.0% </t>
  </si>
  <si>
    <t xml:space="preserve"> Min Risk/Reward Ratio  </t>
  </si>
  <si>
    <t xml:space="preserve">          -11.0 </t>
  </si>
  <si>
    <t xml:space="preserve">          -9.0% </t>
  </si>
  <si>
    <t xml:space="preserve">            Yes </t>
  </si>
  <si>
    <t xml:space="preserve">             No </t>
  </si>
  <si>
    <t>--------------</t>
  </si>
  <si>
    <t xml:space="preserve">      9999.0% </t>
  </si>
  <si>
    <t xml:space="preserve">        15.0% </t>
  </si>
  <si>
    <t xml:space="preserve">     -9999.0% </t>
  </si>
  <si>
    <t xml:space="preserve"> Commission/Contract</t>
  </si>
  <si>
    <t xml:space="preserve"> $       0.67 </t>
  </si>
  <si>
    <t xml:space="preserve"> $   12500.00 </t>
  </si>
  <si>
    <t>---------------</t>
  </si>
  <si>
    <t xml:space="preserve"> Annualized Gain    </t>
  </si>
  <si>
    <t xml:space="preserve"> Total Gain         </t>
  </si>
  <si>
    <t xml:space="preserve"> Run Time           </t>
  </si>
  <si>
    <t xml:space="preserve"> Peak Open Positions</t>
  </si>
  <si>
    <t xml:space="preserve"> Worst Drawdown     </t>
  </si>
  <si>
    <t xml:space="preserve"> Min 5-Day Rise</t>
  </si>
  <si>
    <t xml:space="preserve"> Min Stock Price</t>
  </si>
  <si>
    <t xml:space="preserve"> Min DTE</t>
  </si>
  <si>
    <t xml:space="preserve"> Max DTE</t>
  </si>
  <si>
    <t xml:space="preserve"> Min Put Bid Price</t>
  </si>
  <si>
    <t xml:space="preserve"> Min Put Delta</t>
  </si>
  <si>
    <t xml:space="preserve"> Start Date</t>
  </si>
  <si>
    <t xml:space="preserve"> Initial Cash</t>
  </si>
  <si>
    <t xml:space="preserve"> Max Puts/Account</t>
  </si>
  <si>
    <t xml:space="preserve"> Max Put Delta</t>
  </si>
  <si>
    <t xml:space="preserve"> Max Bid-Ask Spread</t>
  </si>
  <si>
    <t xml:space="preserve"> Min Annual Risk</t>
  </si>
  <si>
    <t xml:space="preserve"> Min Expected Profit</t>
  </si>
  <si>
    <t xml:space="preserve"> Use Risk/Reward Ratio</t>
  </si>
  <si>
    <t xml:space="preserve"> Use Annual Risk</t>
  </si>
  <si>
    <t xml:space="preserve"> Use Expected Profit</t>
  </si>
  <si>
    <t xml:space="preserve"> Stock Min Above Strike</t>
  </si>
  <si>
    <t xml:space="preserve"> Stock Max Below Entry</t>
  </si>
  <si>
    <t xml:space="preserve"> Max Premium/Trade</t>
  </si>
  <si>
    <t>      80</t>
  </si>
  <si>
    <t>       8</t>
  </si>
  <si>
    <t>     -5.0%</t>
  </si>
  <si>
    <t>     0.1%</t>
  </si>
  <si>
    <t>     40.0%</t>
  </si>
  <si>
    <t>     0.2%</t>
  </si>
  <si>
    <t>$    14.00</t>
  </si>
  <si>
    <t>       1</t>
  </si>
  <si>
    <t>      300</t>
  </si>
  <si>
    <t>$    2.50</t>
  </si>
  <si>
    <t>    -25.0%</t>
  </si>
  <si>
    <t>     -0.1%</t>
  </si>
  <si>
    <t>     25.0%</t>
  </si>
  <si>
    <t>     8.0%</t>
  </si>
  <si>
    <t>     -11.0</t>
  </si>
  <si>
    <t>     -9.0%</t>
  </si>
  <si>
    <t>      Yes</t>
  </si>
  <si>
    <t>      No</t>
  </si>
  <si>
    <t>   9999.0%</t>
  </si>
  <si>
    <t>    15.0%</t>
  </si>
  <si>
    <t>  -9999.0%</t>
  </si>
  <si>
    <t>    30.0%</t>
  </si>
  <si>
    <t>$   0.67</t>
  </si>
  <si>
    <t>$ 12500.00</t>
  </si>
  <si>
    <t>   00:12:22</t>
  </si>
  <si>
    <t xml:space="preserve">        20.0% </t>
  </si>
  <si>
    <t xml:space="preserve">      2000.0% </t>
  </si>
  <si>
    <t xml:space="preserve">     -1500.0% </t>
  </si>
  <si>
    <t xml:space="preserve">        25.0% </t>
  </si>
  <si>
    <t xml:space="preserve">          100 </t>
  </si>
  <si>
    <t xml:space="preserve">            5 </t>
  </si>
  <si>
    <t xml:space="preserve"> $   10000.00 </t>
  </si>
  <si>
    <t xml:space="preserve">           20 </t>
  </si>
  <si>
    <t xml:space="preserve">            3 </t>
  </si>
  <si>
    <t xml:space="preserve">           -9.0 </t>
  </si>
  <si>
    <t xml:space="preserve"> $    5000.00 </t>
  </si>
  <si>
    <t xml:space="preserve">            500 </t>
  </si>
  <si>
    <t xml:space="preserve"> 01/01/2024     </t>
  </si>
  <si>
    <t xml:space="preserve"> Min Above SMA150</t>
  </si>
  <si>
    <t xml:space="preserve"> Max Above SMA150</t>
  </si>
  <si>
    <t xml:space="preserve"> Min 10-Day Avg up-Slope</t>
  </si>
  <si>
    <t xml:space="preserve"> Min SMA150 Above Strike</t>
  </si>
  <si>
    <t xml:space="preserve"> Position Put Stop Loss</t>
  </si>
  <si>
    <t xml:space="preserve"> Stock max Below SMA150</t>
  </si>
  <si>
    <t>    40.0%</t>
  </si>
  <si>
    <t>5 year 44.08% -39.52% b.log</t>
  </si>
  <si>
    <t>  25.0%</t>
  </si>
  <si>
    <t>11.2.2025 22:05</t>
  </si>
  <si>
    <t>5yr 44.34% -33.18% 275dte.log</t>
  </si>
  <si>
    <t xml:space="preserve">      00:14:23 </t>
  </si>
  <si>
    <t xml:space="preserve">            78 </t>
  </si>
  <si>
    <t xml:space="preserve"> Total Entry Events </t>
  </si>
  <si>
    <t xml:space="preserve">           510 </t>
  </si>
  <si>
    <t xml:space="preserve">      00:14:03 </t>
  </si>
  <si>
    <t>no name</t>
  </si>
  <si>
    <t>5yr 45.10 -34.12 75stks.log</t>
  </si>
  <si>
    <t xml:space="preserve">      00:12:24 </t>
  </si>
  <si>
    <t>5yr 44.923 -33.34% 2,75bid .log</t>
  </si>
  <si>
    <t xml:space="preserve"> Value          </t>
  </si>
  <si>
    <t xml:space="preserve"> 01/01/20       </t>
  </si>
  <si>
    <t xml:space="preserve"> Parameter                  </t>
  </si>
  <si>
    <t xml:space="preserve"> Min 5-Day Rise             </t>
  </si>
  <si>
    <t xml:space="preserve"> Min Above Avg              </t>
  </si>
  <si>
    <t xml:space="preserve"> Max Above Avg              </t>
  </si>
  <si>
    <t xml:space="preserve"> Min 10-Day Avg Slope       </t>
  </si>
  <si>
    <t xml:space="preserve"> Min Stock Price            </t>
  </si>
  <si>
    <t xml:space="preserve">            Yes </t>
  </si>
  <si>
    <t xml:space="preserve">             No </t>
  </si>
  <si>
    <t xml:space="preserve">      00:12:37 </t>
  </si>
  <si>
    <t>5yr 45.22 -32.16 $3put.log</t>
  </si>
  <si>
    <t xml:space="preserve">      00:12:28 </t>
  </si>
  <si>
    <t xml:space="preserve">            74 </t>
  </si>
  <si>
    <t xml:space="preserve">           463 </t>
  </si>
  <si>
    <t xml:space="preserve">      00:14:27 </t>
  </si>
  <si>
    <t>5yr 43.02 -29.32 $3.5bid.log</t>
  </si>
  <si>
    <t>5yr 43.82 -32.17 70-7puts.log</t>
  </si>
  <si>
    <t xml:space="preserve">      00:12:55 </t>
  </si>
  <si>
    <t>47.15 -40.25 3put_per_day.log</t>
  </si>
  <si>
    <t>=== FINAL TRADING RULES SUMMARY ===</t>
  </si>
  <si>
    <t xml:space="preserve">      00:10:07 </t>
  </si>
  <si>
    <t xml:space="preserve">            70 </t>
  </si>
  <si>
    <t xml:space="preserve">           491 </t>
  </si>
  <si>
    <t xml:space="preserve"> Max Puts/Day</t>
  </si>
  <si>
    <t>Score</t>
  </si>
  <si>
    <t>$ 93,194.90</t>
  </si>
  <si>
    <t>   00:13:56</t>
  </si>
  <si>
    <t>   00:12:38</t>
  </si>
  <si>
    <t>   00:26:07</t>
  </si>
  <si>
    <t>   00:12:15</t>
  </si>
  <si>
    <t>   00:11:45</t>
  </si>
  <si>
    <t>   00:12:00</t>
  </si>
  <si>
    <t>   00:10:49</t>
  </si>
  <si>
    <t xml:space="preserve">      00:15:22 </t>
  </si>
  <si>
    <t>6yr 40.29 -33.36 2PerDay.log</t>
  </si>
  <si>
    <t>6yr 32.44 -25.60 2PerDay.log</t>
  </si>
  <si>
    <t xml:space="preserve">      00:12:34 </t>
  </si>
  <si>
    <t>6yr 37.92% -29.52%.log</t>
  </si>
  <si>
    <t xml:space="preserve">      00:12:37 </t>
  </si>
  <si>
    <t xml:space="preserve">            99 </t>
  </si>
  <si>
    <t xml:space="preserve">           553 </t>
  </si>
  <si>
    <t>6yr 39.83% -29.18%.log</t>
  </si>
  <si>
    <t xml:space="preserve">      00:12:18 </t>
  </si>
  <si>
    <t>6yr  41.75% -30.73%</t>
  </si>
  <si>
    <t xml:space="preserve"> Start Date                 </t>
  </si>
  <si>
    <t xml:space="preserve"> Initial Cash               </t>
  </si>
  <si>
    <t xml:space="preserve"> Max Puts/Account           </t>
  </si>
  <si>
    <t xml:space="preserve"> Max Puts/Stock             </t>
  </si>
  <si>
    <t xml:space="preserve"> Max Puts/Day               </t>
  </si>
  <si>
    <t xml:space="preserve"> Min DTE                    </t>
  </si>
  <si>
    <t xml:space="preserve"> Max DTE                    </t>
  </si>
  <si>
    <t xml:space="preserve"> Min Put Bid Price          </t>
  </si>
  <si>
    <t xml:space="preserve"> Min Put Delta              </t>
  </si>
  <si>
    <t xml:space="preserve"> Max Put Delta              </t>
  </si>
  <si>
    <t xml:space="preserve"> Max Bid-Ask Spread         </t>
  </si>
  <si>
    <t xml:space="preserve"> Min Avg Above Strike       </t>
  </si>
  <si>
    <t xml:space="preserve"> Min Risk/Reward Ratio      </t>
  </si>
  <si>
    <t xml:space="preserve"> Min Annual Risk            </t>
  </si>
  <si>
    <t xml:space="preserve"> Min Expected Profit        </t>
  </si>
  <si>
    <t xml:space="preserve"> Use Risk/Reward Ratio      </t>
  </si>
  <si>
    <t xml:space="preserve"> Use Annual Risk            </t>
  </si>
  <si>
    <t xml:space="preserve"> Use Expected Profit        </t>
  </si>
  <si>
    <t xml:space="preserve"> Position Stop Loss         </t>
  </si>
  <si>
    <t xml:space="preserve"> Stock Below SMA150         </t>
  </si>
  <si>
    <t xml:space="preserve"> Stock Min Above Strike     </t>
  </si>
  <si>
    <t xml:space="preserve"> Stock Max Below Entry      </t>
  </si>
  <si>
    <t xml:space="preserve"> Commission/Contract        </t>
  </si>
  <si>
    <t xml:space="preserve"> Max Premium/Trade          </t>
  </si>
  <si>
    <t xml:space="preserve">  Value         </t>
  </si>
  <si>
    <t xml:space="preserve"> Annualized Gain            </t>
  </si>
  <si>
    <t xml:space="preserve"> Total Gain                 </t>
  </si>
  <si>
    <t xml:space="preserve"> Run Time                   </t>
  </si>
  <si>
    <t xml:space="preserve">       00:12:21 </t>
  </si>
  <si>
    <t xml:space="preserve"> Peak Open Positions        </t>
  </si>
  <si>
    <t xml:space="preserve"> Total Entry Events         </t>
  </si>
  <si>
    <t xml:space="preserve"> Worst Drawdown             </t>
  </si>
  <si>
    <t>6yr 42.76% -29.76%.log</t>
  </si>
  <si>
    <t xml:space="preserve">       00:12:20 </t>
  </si>
  <si>
    <t>6y 42.83% -29.39%.log</t>
  </si>
  <si>
    <t xml:space="preserve">       00:12:11 </t>
  </si>
  <si>
    <t>6yr 44.65% -30.39%.log</t>
  </si>
  <si>
    <t xml:space="preserve">             72 </t>
  </si>
  <si>
    <t xml:space="preserve">        9999.0% </t>
  </si>
  <si>
    <t xml:space="preserve">          15.0% </t>
  </si>
  <si>
    <t xml:space="preserve">       -9999.0% </t>
  </si>
  <si>
    <t xml:space="preserve">       00:12:35 </t>
  </si>
  <si>
    <t xml:space="preserve">            452 </t>
  </si>
  <si>
    <t>6yr 43.54% -35.74%.log</t>
  </si>
  <si>
    <t xml:space="preserve">       00:12:17 </t>
  </si>
  <si>
    <t>6yr 23.69% -27.09.log</t>
  </si>
  <si>
    <t>11/3/2025  13:24:00 PM</t>
  </si>
  <si>
    <t xml:space="preserve">       00:11:28 </t>
  </si>
  <si>
    <t>6yr 32.72% -35.09.log</t>
  </si>
  <si>
    <t>11/3/2025  16:04:00 PM</t>
  </si>
  <si>
    <t xml:space="preserve">       00:12:12 </t>
  </si>
  <si>
    <t xml:space="preserve">             68 </t>
  </si>
  <si>
    <t xml:space="preserve">            385 </t>
  </si>
  <si>
    <t>6y 42.93 -29.49.log</t>
  </si>
  <si>
    <t xml:space="preserve">       00:12:00 </t>
  </si>
  <si>
    <t xml:space="preserve">            444 </t>
  </si>
  <si>
    <t>    -30.0%</t>
  </si>
  <si>
    <t xml:space="preserve">       00:12:30 </t>
  </si>
  <si>
    <t xml:space="preserve"> Min Gain to Take Profit    </t>
  </si>
  <si>
    <t>--- MONTHLY PORTFOLIO GAIN ---</t>
  </si>
  <si>
    <t>--- YEARLY PORTFOLIO GAIN ---</t>
  </si>
  <si>
    <t xml:space="preserve"> Month   </t>
  </si>
  <si>
    <t xml:space="preserve"> Total Value EOD  </t>
  </si>
  <si>
    <t xml:space="preserve"> $ Gain       </t>
  </si>
  <si>
    <t xml:space="preserve">  % Gain  </t>
  </si>
  <si>
    <t xml:space="preserve"> % SPY Gain </t>
  </si>
  <si>
    <t>---------</t>
  </si>
  <si>
    <t>------------------</t>
  </si>
  <si>
    <t>----------</t>
  </si>
  <si>
    <t>------------</t>
  </si>
  <si>
    <t xml:space="preserve"> 2020-01 </t>
  </si>
  <si>
    <t xml:space="preserve"> 2020-02 </t>
  </si>
  <si>
    <t xml:space="preserve"> 2020-03 </t>
  </si>
  <si>
    <t xml:space="preserve"> 2020-04 </t>
  </si>
  <si>
    <t xml:space="preserve"> 2020-05 </t>
  </si>
  <si>
    <t xml:space="preserve"> 2020-06 </t>
  </si>
  <si>
    <t xml:space="preserve"> 2020-07 </t>
  </si>
  <si>
    <t xml:space="preserve"> 2020-08 </t>
  </si>
  <si>
    <t xml:space="preserve"> 2020-09 </t>
  </si>
  <si>
    <t xml:space="preserve"> 2020-10 </t>
  </si>
  <si>
    <t xml:space="preserve"> 2020-11 </t>
  </si>
  <si>
    <t xml:space="preserve"> 2020-12 </t>
  </si>
  <si>
    <t xml:space="preserve"> 2021-01 </t>
  </si>
  <si>
    <t xml:space="preserve"> 2021-02 </t>
  </si>
  <si>
    <t xml:space="preserve"> 2021-03 </t>
  </si>
  <si>
    <t xml:space="preserve"> 2021-04 </t>
  </si>
  <si>
    <t xml:space="preserve"> 2021-05 </t>
  </si>
  <si>
    <t xml:space="preserve"> 2021-06 </t>
  </si>
  <si>
    <t xml:space="preserve"> 2021-07 </t>
  </si>
  <si>
    <t xml:space="preserve"> 2021-08 </t>
  </si>
  <si>
    <t xml:space="preserve"> 2021-09 </t>
  </si>
  <si>
    <t xml:space="preserve"> 2021-10 </t>
  </si>
  <si>
    <t xml:space="preserve"> 2021-11 </t>
  </si>
  <si>
    <t xml:space="preserve"> 2021-12 </t>
  </si>
  <si>
    <t xml:space="preserve"> 2022-01 </t>
  </si>
  <si>
    <t xml:space="preserve"> 2022-02 </t>
  </si>
  <si>
    <t xml:space="preserve"> 2022-03 </t>
  </si>
  <si>
    <t xml:space="preserve"> 2022-04 </t>
  </si>
  <si>
    <t xml:space="preserve"> 2022-05 </t>
  </si>
  <si>
    <t xml:space="preserve"> 2022-06 </t>
  </si>
  <si>
    <t xml:space="preserve"> 2022-07 </t>
  </si>
  <si>
    <t xml:space="preserve"> 2022-08 </t>
  </si>
  <si>
    <t xml:space="preserve"> 2022-09 </t>
  </si>
  <si>
    <t xml:space="preserve"> 2022-10 </t>
  </si>
  <si>
    <t xml:space="preserve"> 2022-11 </t>
  </si>
  <si>
    <t xml:space="preserve"> 2022-12 </t>
  </si>
  <si>
    <t xml:space="preserve"> 2023-01 </t>
  </si>
  <si>
    <t xml:space="preserve"> 2023-02 </t>
  </si>
  <si>
    <t xml:space="preserve"> 2023-03 </t>
  </si>
  <si>
    <t xml:space="preserve"> 2023-04 </t>
  </si>
  <si>
    <t xml:space="preserve"> 2023-05 </t>
  </si>
  <si>
    <t xml:space="preserve"> 2023-06 </t>
  </si>
  <si>
    <t xml:space="preserve"> 2023-07 </t>
  </si>
  <si>
    <t xml:space="preserve"> 2023-08 </t>
  </si>
  <si>
    <t xml:space="preserve"> 2023-09 </t>
  </si>
  <si>
    <t xml:space="preserve"> 2023-10 </t>
  </si>
  <si>
    <t xml:space="preserve"> 2023-11 </t>
  </si>
  <si>
    <t xml:space="preserve"> 2023-12 </t>
  </si>
  <si>
    <t xml:space="preserve"> 2024-01 </t>
  </si>
  <si>
    <t xml:space="preserve"> 2024-02 </t>
  </si>
  <si>
    <t xml:space="preserve"> 2024-03 </t>
  </si>
  <si>
    <t xml:space="preserve"> 2024-04 </t>
  </si>
  <si>
    <t xml:space="preserve"> 2024-05 </t>
  </si>
  <si>
    <t xml:space="preserve"> 2024-06 </t>
  </si>
  <si>
    <t xml:space="preserve"> 2024-07 </t>
  </si>
  <si>
    <t xml:space="preserve"> 2024-08 </t>
  </si>
  <si>
    <t xml:space="preserve"> 2024-09 </t>
  </si>
  <si>
    <t xml:space="preserve"> 2024-10 </t>
  </si>
  <si>
    <t xml:space="preserve"> 2024-11 </t>
  </si>
  <si>
    <t xml:space="preserve"> 2024-12 </t>
  </si>
  <si>
    <t xml:space="preserve"> 2025-01 </t>
  </si>
  <si>
    <t xml:space="preserve"> 2025-02 </t>
  </si>
  <si>
    <t xml:space="preserve"> 2025-03 </t>
  </si>
  <si>
    <t xml:space="preserve"> 2025-04 </t>
  </si>
  <si>
    <t xml:space="preserve"> 2025-05 </t>
  </si>
  <si>
    <t xml:space="preserve"> 2025-06 </t>
  </si>
  <si>
    <t xml:space="preserve"> 2025-07 </t>
  </si>
  <si>
    <t xml:space="preserve"> 2025-08 </t>
  </si>
  <si>
    <t xml:space="preserve"> 2025-09 </t>
  </si>
  <si>
    <t xml:space="preserve"> 2025-10 </t>
  </si>
  <si>
    <t xml:space="preserve"> Year    </t>
  </si>
  <si>
    <t xml:space="preserve"> $ Gain        </t>
  </si>
  <si>
    <t xml:space="preserve"> % Gain   </t>
  </si>
  <si>
    <t>-- TRADE EXIT STATISTICS (by Trade Event Count) ---</t>
  </si>
  <si>
    <t xml:space="preserve"> Exit Reason                          </t>
  </si>
  <si>
    <t xml:space="preserve"> Exit Events  </t>
  </si>
  <si>
    <t xml:space="preserve">  % of Total </t>
  </si>
  <si>
    <t xml:space="preserve"> Total Gain $      </t>
  </si>
  <si>
    <t xml:space="preserve"> Net Gain % </t>
  </si>
  <si>
    <t>--------------------------------------</t>
  </si>
  <si>
    <t>-------------</t>
  </si>
  <si>
    <t>-------------------</t>
  </si>
  <si>
    <t xml:space="preserve"> Expiration (OTM/Max Profit)          </t>
  </si>
  <si>
    <t xml:space="preserve"> Last day liquidation                 </t>
  </si>
  <si>
    <t xml:space="preserve"> StopLoss Stk Below Entry Threshold)  </t>
  </si>
  <si>
    <t xml:space="preserve"> StopLoss Stk Below SMA150            </t>
  </si>
  <si>
    <t xml:space="preserve"> TakeProfit Min gain reached          </t>
  </si>
  <si>
    <t xml:space="preserve"> **Total Exit Trades Closed**         </t>
  </si>
  <si>
    <t>-------------------------------</t>
  </si>
  <si>
    <t xml:space="preserve"> Total Entry Events            </t>
  </si>
  <si>
    <t>N/A</t>
  </si>
  <si>
    <t xml:space="preserve">          50.0% </t>
  </si>
  <si>
    <t xml:space="preserve">       00:12:47 </t>
  </si>
  <si>
    <t xml:space="preserve">             32 </t>
  </si>
  <si>
    <t xml:space="preserve">            566 </t>
  </si>
  <si>
    <t xml:space="preserve"> Min Gain to Take Profit</t>
  </si>
  <si>
    <t>--- FINAL LIQUIDATION SUMMARY ---</t>
  </si>
  <si>
    <t>💰 **FINAL REALIZED CASH VALUE:** $5,112,767.16</t>
  </si>
  <si>
    <t>✅ **TOTAL LIQUIDATION P&amp;L:** $127,300.46</t>
  </si>
  <si>
    <t>💵 **TOTAL NET PROFIT (Start to Finish):** $4,112,767.16</t>
  </si>
  <si>
    <t>--- CUMULATIVE PERFORMANCE SUMMARY (2129 days) ---</t>
  </si>
  <si>
    <t>📈 **Simulation Period:** 2020-01-02 to 2025-10-31</t>
  </si>
  <si>
    <t>--- TRADE EXIT STATISTICS (by Trade Event Count) ---</t>
  </si>
  <si>
    <t>-- FINAL LIQUIDATION SUMMARY ---</t>
  </si>
  <si>
    <t>-------------------------</t>
  </si>
  <si>
    <t xml:space="preserve"> **Annualized Gain (%)** </t>
  </si>
  <si>
    <t xml:space="preserve"> StopLoss: Stock Below Entry Thres... </t>
  </si>
  <si>
    <t xml:space="preserve"> Metric         </t>
  </si>
  <si>
    <t xml:space="preserve"> Account Gain [%] </t>
  </si>
  <si>
    <t xml:space="preserve"> SPY Benchmark </t>
  </si>
  <si>
    <t xml:space="preserve"> Comparison    </t>
  </si>
  <si>
    <t xml:space="preserve"> **Total Net Gain (%)** </t>
  </si>
  <si>
    <t xml:space="preserve"> **  282.84pp** </t>
  </si>
  <si>
    <t xml:space="preserve"> **   17.08pp** </t>
  </si>
  <si>
    <t xml:space="preserve"> Month  </t>
  </si>
  <si>
    <t xml:space="preserve"> Total Value EOD </t>
  </si>
  <si>
    <t xml:space="preserve"> $ Gain    </t>
  </si>
  <si>
    <t xml:space="preserve"> % Gain </t>
  </si>
  <si>
    <t xml:space="preserve"> Year  </t>
  </si>
  <si>
    <t xml:space="preserve"> % Gain  </t>
  </si>
  <si>
    <t xml:space="preserve"> Exit Reason             </t>
  </si>
  <si>
    <t xml:space="preserve"> Exit Events </t>
  </si>
  <si>
    <t xml:space="preserve"> % of Total </t>
  </si>
  <si>
    <t xml:space="preserve"> Total Gain $   </t>
  </si>
  <si>
    <t xml:space="preserve"> Expiration (OTM/Max Profit)     </t>
  </si>
  <si>
    <t xml:space="preserve"> Last day liquidation         </t>
  </si>
  <si>
    <t xml:space="preserve"> StopLoss: Stock Below SMA150     </t>
  </si>
  <si>
    <t xml:space="preserve"> TakeProfit Min gain reached     </t>
  </si>
  <si>
    <t xml:space="preserve"> **Total Exit Trades Closed**     </t>
  </si>
  <si>
    <t xml:space="preserve">    N/A </t>
  </si>
  <si>
    <t xml:space="preserve"> Total Entry Events      </t>
  </si>
  <si>
    <t xml:space="preserve">        N/A </t>
  </si>
  <si>
    <t>-- DETAILED CLOSED TRADE LOG (Full History) ---</t>
  </si>
  <si>
    <t xml:space="preserve"> Exit #  </t>
  </si>
  <si>
    <t xml:space="preserve"> Ticker </t>
  </si>
  <si>
    <t xml:space="preserve">  Qty </t>
  </si>
  <si>
    <t xml:space="preserve">   Day In   </t>
  </si>
  <si>
    <t xml:space="preserve"> Price In   </t>
  </si>
  <si>
    <t xml:space="preserve"> Amount In   </t>
  </si>
  <si>
    <t xml:space="preserve">  Day Out   </t>
  </si>
  <si>
    <t xml:space="preserve"> Price Out </t>
  </si>
  <si>
    <t xml:space="preserve">  Amount Out </t>
  </si>
  <si>
    <t xml:space="preserve"> Reason Why Closed          </t>
  </si>
  <si>
    <t xml:space="preserve">    Gain $  </t>
  </si>
  <si>
    <t xml:space="preserve">   Gain % </t>
  </si>
  <si>
    <t>--------</t>
  </si>
  <si>
    <t>------</t>
  </si>
  <si>
    <t>-----------</t>
  </si>
  <si>
    <t xml:space="preserve"> PAYC   </t>
  </si>
  <si>
    <t xml:space="preserve"> 2020-03-05 </t>
  </si>
  <si>
    <t xml:space="preserve"> 2020-03-12 </t>
  </si>
  <si>
    <t xml:space="preserve">  StopLoss Stk Below Entry  </t>
  </si>
  <si>
    <t xml:space="preserve"> AMD    </t>
  </si>
  <si>
    <t xml:space="preserve"> 2020-03-19 </t>
  </si>
  <si>
    <t xml:space="preserve"> 2020-03-30 </t>
  </si>
  <si>
    <t xml:space="preserve">  TakeProfit Min gain reach </t>
  </si>
  <si>
    <t xml:space="preserve"> COST   </t>
  </si>
  <si>
    <t xml:space="preserve"> 2020-03-18 </t>
  </si>
  <si>
    <t xml:space="preserve"> 2020-04-06 </t>
  </si>
  <si>
    <t xml:space="preserve"> 2020-03-23 </t>
  </si>
  <si>
    <t xml:space="preserve"> 2020-04-08 </t>
  </si>
  <si>
    <t xml:space="preserve"> 2020-03-10 </t>
  </si>
  <si>
    <t xml:space="preserve"> 2020-04-13 </t>
  </si>
  <si>
    <t xml:space="preserve"> NFLX   </t>
  </si>
  <si>
    <t xml:space="preserve"> 2020-03-20 </t>
  </si>
  <si>
    <t xml:space="preserve"> 2020-03-06 </t>
  </si>
  <si>
    <t xml:space="preserve"> 2020-04-14 </t>
  </si>
  <si>
    <t xml:space="preserve"> 2020-03-25 </t>
  </si>
  <si>
    <t xml:space="preserve"> MSCI   </t>
  </si>
  <si>
    <t xml:space="preserve"> 2020-03-13 </t>
  </si>
  <si>
    <t xml:space="preserve"> 2020-05-04 </t>
  </si>
  <si>
    <t xml:space="preserve"> NOW    </t>
  </si>
  <si>
    <t xml:space="preserve"> 2020-03-26 </t>
  </si>
  <si>
    <t xml:space="preserve"> 2020-05-05 </t>
  </si>
  <si>
    <t xml:space="preserve"> CNC    </t>
  </si>
  <si>
    <t xml:space="preserve"> 2020-04-16 </t>
  </si>
  <si>
    <t xml:space="preserve"> 2020-05-07 </t>
  </si>
  <si>
    <t xml:space="preserve"> EQIX   </t>
  </si>
  <si>
    <t xml:space="preserve"> 2020-04-03 </t>
  </si>
  <si>
    <t xml:space="preserve"> 2020-05-08 </t>
  </si>
  <si>
    <t xml:space="preserve"> 2020-04-15 </t>
  </si>
  <si>
    <t xml:space="preserve"> 2020-04-27 </t>
  </si>
  <si>
    <t xml:space="preserve"> 2020-05-11 </t>
  </si>
  <si>
    <t xml:space="preserve"> 2020-03-24 </t>
  </si>
  <si>
    <t xml:space="preserve"> 2020-05-12 </t>
  </si>
  <si>
    <t xml:space="preserve"> ILMN   </t>
  </si>
  <si>
    <t xml:space="preserve"> 2020-04-23 </t>
  </si>
  <si>
    <t xml:space="preserve"> 2020-05-28 </t>
  </si>
  <si>
    <t xml:space="preserve"> ADSK   </t>
  </si>
  <si>
    <t xml:space="preserve"> 2020-04-22 </t>
  </si>
  <si>
    <t xml:space="preserve"> 2020-06-01 </t>
  </si>
  <si>
    <t xml:space="preserve"> PLD    </t>
  </si>
  <si>
    <t xml:space="preserve"> 2020-06-03 </t>
  </si>
  <si>
    <t xml:space="preserve"> SWKS   </t>
  </si>
  <si>
    <t xml:space="preserve"> 2020-04-28 </t>
  </si>
  <si>
    <t xml:space="preserve"> 2020-06-04 </t>
  </si>
  <si>
    <t xml:space="preserve"> CI     </t>
  </si>
  <si>
    <t xml:space="preserve"> 2020-05-15 </t>
  </si>
  <si>
    <t xml:space="preserve"> 2020-05-18 </t>
  </si>
  <si>
    <t xml:space="preserve"> 2020-05-19 </t>
  </si>
  <si>
    <t xml:space="preserve"> 2020-05-26 </t>
  </si>
  <si>
    <t xml:space="preserve"> 2020-04-20 </t>
  </si>
  <si>
    <t xml:space="preserve"> 2020-06-05 </t>
  </si>
  <si>
    <t xml:space="preserve"> KLAC   </t>
  </si>
  <si>
    <t xml:space="preserve"> 2020-04-24 </t>
  </si>
  <si>
    <t xml:space="preserve"> 2020-04-30 </t>
  </si>
  <si>
    <t xml:space="preserve"> 2020-06-08 </t>
  </si>
  <si>
    <t xml:space="preserve"> 2020-06-23 </t>
  </si>
  <si>
    <t xml:space="preserve"> 2020-06-09 </t>
  </si>
  <si>
    <t xml:space="preserve"> BBY    </t>
  </si>
  <si>
    <t xml:space="preserve"> 2020-05-14 </t>
  </si>
  <si>
    <t xml:space="preserve"> 2020-06-30 </t>
  </si>
  <si>
    <t xml:space="preserve"> 2020-05-06 </t>
  </si>
  <si>
    <t xml:space="preserve"> 2020-07-09 </t>
  </si>
  <si>
    <t xml:space="preserve"> DLR    </t>
  </si>
  <si>
    <t xml:space="preserve"> 2020-04-02 </t>
  </si>
  <si>
    <t xml:space="preserve"> 2020-07-14 </t>
  </si>
  <si>
    <t xml:space="preserve"> ALGN   </t>
  </si>
  <si>
    <t xml:space="preserve"> 2020-05-22 </t>
  </si>
  <si>
    <t xml:space="preserve"> 2020-07-17 </t>
  </si>
  <si>
    <t xml:space="preserve"> 2020-06-22 </t>
  </si>
  <si>
    <t xml:space="preserve">  Expiration (OTM/Max Profi </t>
  </si>
  <si>
    <t xml:space="preserve"> 2020-05-27 </t>
  </si>
  <si>
    <t xml:space="preserve"> 2020-07-20 </t>
  </si>
  <si>
    <t xml:space="preserve"> URI    </t>
  </si>
  <si>
    <t xml:space="preserve"> 2020-07-22 </t>
  </si>
  <si>
    <t xml:space="preserve"> 2020-04-21 </t>
  </si>
  <si>
    <t xml:space="preserve"> 2020-07-23 </t>
  </si>
  <si>
    <t xml:space="preserve"> 2020-06-18 </t>
  </si>
  <si>
    <t xml:space="preserve"> 2020-07-24 </t>
  </si>
  <si>
    <t xml:space="preserve"> 2020-06-25 </t>
  </si>
  <si>
    <t xml:space="preserve"> 2020-07-13 </t>
  </si>
  <si>
    <t xml:space="preserve"> 2020-05-29 </t>
  </si>
  <si>
    <t xml:space="preserve"> 2020-07-27 </t>
  </si>
  <si>
    <t xml:space="preserve"> 2020-06-02 </t>
  </si>
  <si>
    <t xml:space="preserve"> LEN    </t>
  </si>
  <si>
    <t xml:space="preserve"> 2020-06-19 </t>
  </si>
  <si>
    <t xml:space="preserve"> 2020-07-29 </t>
  </si>
  <si>
    <t xml:space="preserve"> QRVO   </t>
  </si>
  <si>
    <t xml:space="preserve"> 2020-07-30 </t>
  </si>
  <si>
    <t xml:space="preserve"> 2020-05-20 </t>
  </si>
  <si>
    <t xml:space="preserve"> 2020-06-17 </t>
  </si>
  <si>
    <t xml:space="preserve"> 2020-08-03 </t>
  </si>
  <si>
    <t xml:space="preserve"> 2020-04-29 </t>
  </si>
  <si>
    <t xml:space="preserve"> 2020-08-05 </t>
  </si>
  <si>
    <t xml:space="preserve"> 2020-06-24 </t>
  </si>
  <si>
    <t xml:space="preserve"> 2020-08-07 </t>
  </si>
  <si>
    <t xml:space="preserve"> 2020-05-13 </t>
  </si>
  <si>
    <t xml:space="preserve"> 2020-08-12 </t>
  </si>
  <si>
    <t xml:space="preserve"> 2020-08-26 </t>
  </si>
  <si>
    <t xml:space="preserve"> 2020-06-16 </t>
  </si>
  <si>
    <t xml:space="preserve"> 2020-10-02 </t>
  </si>
  <si>
    <t xml:space="preserve"> 2020-06-26 </t>
  </si>
  <si>
    <t xml:space="preserve"> 2020-10-05 </t>
  </si>
  <si>
    <t xml:space="preserve"> 2020-10-06 </t>
  </si>
  <si>
    <t xml:space="preserve"> MU     </t>
  </si>
  <si>
    <t xml:space="preserve"> 2020-06-10 </t>
  </si>
  <si>
    <t xml:space="preserve"> 2020-10-09 </t>
  </si>
  <si>
    <t xml:space="preserve"> AMAT   </t>
  </si>
  <si>
    <t xml:space="preserve"> 2020-09-03 </t>
  </si>
  <si>
    <t xml:space="preserve"> 2020-11-04 </t>
  </si>
  <si>
    <t xml:space="preserve"> LVS    </t>
  </si>
  <si>
    <t xml:space="preserve"> 2020-10-29 </t>
  </si>
  <si>
    <t xml:space="preserve"> 2020-11-09 </t>
  </si>
  <si>
    <t xml:space="preserve"> RCL    </t>
  </si>
  <si>
    <t xml:space="preserve"> 2020-11-02 </t>
  </si>
  <si>
    <t xml:space="preserve"> GPN    </t>
  </si>
  <si>
    <t xml:space="preserve"> 2020-05-21 </t>
  </si>
  <si>
    <t xml:space="preserve"> 2020-11-13 </t>
  </si>
  <si>
    <t xml:space="preserve"> 2020-06-11 </t>
  </si>
  <si>
    <t xml:space="preserve"> 2020-11-19 </t>
  </si>
  <si>
    <t xml:space="preserve"> 2020-10-20 </t>
  </si>
  <si>
    <t xml:space="preserve"> 2020-11-23 </t>
  </si>
  <si>
    <t xml:space="preserve"> 2020-10-21 </t>
  </si>
  <si>
    <t xml:space="preserve"> 2020-10-22 </t>
  </si>
  <si>
    <t xml:space="preserve"> UAL    </t>
  </si>
  <si>
    <t xml:space="preserve"> 2020-11-05 </t>
  </si>
  <si>
    <t xml:space="preserve"> 2020-11-24 </t>
  </si>
  <si>
    <t xml:space="preserve"> WYNN   </t>
  </si>
  <si>
    <t xml:space="preserve"> 2020-11-06 </t>
  </si>
  <si>
    <t xml:space="preserve"> SPXL   </t>
  </si>
  <si>
    <t xml:space="preserve"> 2020-10-27 </t>
  </si>
  <si>
    <t xml:space="preserve"> 2020-11-25 </t>
  </si>
  <si>
    <t xml:space="preserve"> 2020-09-23 </t>
  </si>
  <si>
    <t xml:space="preserve"> 2020-11-27 </t>
  </si>
  <si>
    <t xml:space="preserve"> ETSY   </t>
  </si>
  <si>
    <t xml:space="preserve"> 2020-11-16 </t>
  </si>
  <si>
    <t xml:space="preserve"> 2020-11-18 </t>
  </si>
  <si>
    <t xml:space="preserve"> 2020-09-16 </t>
  </si>
  <si>
    <t xml:space="preserve"> 2020-12-01 </t>
  </si>
  <si>
    <t xml:space="preserve"> DIS    </t>
  </si>
  <si>
    <t xml:space="preserve"> 2020-10-15 </t>
  </si>
  <si>
    <t xml:space="preserve"> 2020-12-02 </t>
  </si>
  <si>
    <t xml:space="preserve"> 2020-11-11 </t>
  </si>
  <si>
    <t xml:space="preserve"> 2020-12-04 </t>
  </si>
  <si>
    <t xml:space="preserve"> 2020-09-29 </t>
  </si>
  <si>
    <t xml:space="preserve"> 2020-12-07 </t>
  </si>
  <si>
    <t xml:space="preserve"> 2020-12-08 </t>
  </si>
  <si>
    <t xml:space="preserve"> 2020-11-17 </t>
  </si>
  <si>
    <t xml:space="preserve"> 2020-12-10 </t>
  </si>
  <si>
    <t xml:space="preserve"> 2020-08-06 </t>
  </si>
  <si>
    <t xml:space="preserve"> 2020-12-18 </t>
  </si>
  <si>
    <t xml:space="preserve"> 2020-11-10 </t>
  </si>
  <si>
    <t xml:space="preserve"> 2021-01-07 </t>
  </si>
  <si>
    <t xml:space="preserve"> BWA    </t>
  </si>
  <si>
    <t xml:space="preserve"> 2020-10-13 </t>
  </si>
  <si>
    <t xml:space="preserve"> 2021-01-15 </t>
  </si>
  <si>
    <t xml:space="preserve"> 2020-10-23 </t>
  </si>
  <si>
    <t xml:space="preserve"> 2020-10-26 </t>
  </si>
  <si>
    <t xml:space="preserve"> 2020-11-03 </t>
  </si>
  <si>
    <t xml:space="preserve"> 2020-10-14 </t>
  </si>
  <si>
    <t xml:space="preserve"> 2021-01-20 </t>
  </si>
  <si>
    <t xml:space="preserve"> 2021-02-16 </t>
  </si>
  <si>
    <t xml:space="preserve"> 2020-12-09 </t>
  </si>
  <si>
    <t xml:space="preserve"> 2021-02-22 </t>
  </si>
  <si>
    <t xml:space="preserve"> 2021-02-24 </t>
  </si>
  <si>
    <t xml:space="preserve"> 2021-01-28 </t>
  </si>
  <si>
    <t xml:space="preserve"> 2021-01-19 </t>
  </si>
  <si>
    <t xml:space="preserve"> 2021-03-02 </t>
  </si>
  <si>
    <t xml:space="preserve"> 2020-11-12 </t>
  </si>
  <si>
    <t xml:space="preserve"> 2021-03-03 </t>
  </si>
  <si>
    <t xml:space="preserve"> 2020-10-19 </t>
  </si>
  <si>
    <t xml:space="preserve"> 2021-03-09 </t>
  </si>
  <si>
    <t xml:space="preserve"> 2020-11-20 </t>
  </si>
  <si>
    <t xml:space="preserve"> 2020-12-03 </t>
  </si>
  <si>
    <t xml:space="preserve"> 2021-03-11 </t>
  </si>
  <si>
    <t xml:space="preserve"> 2021-02-18 </t>
  </si>
  <si>
    <t xml:space="preserve"> 2021-03-12 </t>
  </si>
  <si>
    <t xml:space="preserve"> 2021-01-14 </t>
  </si>
  <si>
    <t xml:space="preserve"> 2021-03-15 </t>
  </si>
  <si>
    <t xml:space="preserve"> 2021-01-12 </t>
  </si>
  <si>
    <t xml:space="preserve"> 2021-03-22 </t>
  </si>
  <si>
    <t xml:space="preserve"> 2021-02-02 </t>
  </si>
  <si>
    <t xml:space="preserve"> 2021-02-03 </t>
  </si>
  <si>
    <t xml:space="preserve"> 2021-03-29 </t>
  </si>
  <si>
    <t xml:space="preserve"> 2021-02-10 </t>
  </si>
  <si>
    <t xml:space="preserve"> 2021-03-31 </t>
  </si>
  <si>
    <t xml:space="preserve"> SOXL   </t>
  </si>
  <si>
    <t xml:space="preserve"> 2021-04-01 </t>
  </si>
  <si>
    <t xml:space="preserve"> 2021-04-05 </t>
  </si>
  <si>
    <t xml:space="preserve"> 2021-03-04 </t>
  </si>
  <si>
    <t xml:space="preserve"> 2021-04-09 </t>
  </si>
  <si>
    <t xml:space="preserve"> 2021-04-15 </t>
  </si>
  <si>
    <t xml:space="preserve"> 2021-01-27 </t>
  </si>
  <si>
    <t xml:space="preserve"> 2021-04-26 </t>
  </si>
  <si>
    <t xml:space="preserve"> ENPH   </t>
  </si>
  <si>
    <t xml:space="preserve"> 2021-05-04 </t>
  </si>
  <si>
    <t xml:space="preserve"> 2021-03-25 </t>
  </si>
  <si>
    <t xml:space="preserve"> 2021-03-26 </t>
  </si>
  <si>
    <t xml:space="preserve"> 2021-03-30 </t>
  </si>
  <si>
    <t xml:space="preserve"> 2021-04-27 </t>
  </si>
  <si>
    <t xml:space="preserve"> 2021-04-19 </t>
  </si>
  <si>
    <t xml:space="preserve"> 2021-05-06 </t>
  </si>
  <si>
    <t xml:space="preserve"> 2021-04-22 </t>
  </si>
  <si>
    <t xml:space="preserve"> 2021-04-23 </t>
  </si>
  <si>
    <t xml:space="preserve"> 2021-04-28 </t>
  </si>
  <si>
    <t xml:space="preserve"> 2021-04-29 </t>
  </si>
  <si>
    <t xml:space="preserve"> 2021-03-16 </t>
  </si>
  <si>
    <t xml:space="preserve"> 2021-05-07 </t>
  </si>
  <si>
    <t xml:space="preserve"> 2021-03-18 </t>
  </si>
  <si>
    <t xml:space="preserve"> 2021-05-12 </t>
  </si>
  <si>
    <t xml:space="preserve"> 2021-03-19 </t>
  </si>
  <si>
    <t xml:space="preserve"> 2021-04-14 </t>
  </si>
  <si>
    <t xml:space="preserve"> 2021-04-21 </t>
  </si>
  <si>
    <t xml:space="preserve"> 2021-01-13 </t>
  </si>
  <si>
    <t xml:space="preserve"> 2021-05-28 </t>
  </si>
  <si>
    <t xml:space="preserve"> 2021-06-02 </t>
  </si>
  <si>
    <t xml:space="preserve"> 2021-02-17 </t>
  </si>
  <si>
    <t xml:space="preserve"> 2021-06-10 </t>
  </si>
  <si>
    <t xml:space="preserve"> 2021-05-26 </t>
  </si>
  <si>
    <t xml:space="preserve"> 2021-06-23 </t>
  </si>
  <si>
    <t xml:space="preserve"> STE    </t>
  </si>
  <si>
    <t xml:space="preserve"> 2021-06-11 </t>
  </si>
  <si>
    <t xml:space="preserve"> 2021-05-20 </t>
  </si>
  <si>
    <t xml:space="preserve"> 2021-06-28 </t>
  </si>
  <si>
    <t xml:space="preserve"> 2021-05-21 </t>
  </si>
  <si>
    <t xml:space="preserve"> 2021-06-29 </t>
  </si>
  <si>
    <t xml:space="preserve"> 2021-05-14 </t>
  </si>
  <si>
    <t xml:space="preserve"> 2021-07-19 </t>
  </si>
  <si>
    <t xml:space="preserve">  StopLoss Stk Below SMA150 </t>
  </si>
  <si>
    <t xml:space="preserve"> 2021-05-24 </t>
  </si>
  <si>
    <t xml:space="preserve"> 2021-08-04 </t>
  </si>
  <si>
    <t xml:space="preserve"> 2021-05-25 </t>
  </si>
  <si>
    <t xml:space="preserve"> 2021-08-11 </t>
  </si>
  <si>
    <t xml:space="preserve"> 2021-08-27 </t>
  </si>
  <si>
    <t xml:space="preserve"> 2021-05-27 </t>
  </si>
  <si>
    <t xml:space="preserve"> 2021-06-01 </t>
  </si>
  <si>
    <t xml:space="preserve"> 2021-06-03 </t>
  </si>
  <si>
    <t xml:space="preserve"> 2021-08-30 </t>
  </si>
  <si>
    <t xml:space="preserve"> 2021-07-27 </t>
  </si>
  <si>
    <t xml:space="preserve"> 2021-09-17 </t>
  </si>
  <si>
    <t xml:space="preserve"> ADI    </t>
  </si>
  <si>
    <t xml:space="preserve"> 2021-10-07 </t>
  </si>
  <si>
    <t xml:space="preserve"> 2021-08-31 </t>
  </si>
  <si>
    <t xml:space="preserve"> 2021-09-03 </t>
  </si>
  <si>
    <t xml:space="preserve"> 2021-09-07 </t>
  </si>
  <si>
    <t xml:space="preserve"> 2021-10-08 </t>
  </si>
  <si>
    <t xml:space="preserve"> 2021-06-21 </t>
  </si>
  <si>
    <t xml:space="preserve"> 2021-10-12 </t>
  </si>
  <si>
    <t xml:space="preserve"> 2021-06-17 </t>
  </si>
  <si>
    <t xml:space="preserve"> 2021-10-13 </t>
  </si>
  <si>
    <t xml:space="preserve"> 2021-06-18 </t>
  </si>
  <si>
    <t xml:space="preserve"> 2021-06-22 </t>
  </si>
  <si>
    <t xml:space="preserve"> 2021-10-15 </t>
  </si>
  <si>
    <t xml:space="preserve"> 2021-09-01 </t>
  </si>
  <si>
    <t xml:space="preserve"> 2021-06-24 </t>
  </si>
  <si>
    <t xml:space="preserve"> 2021-10-18 </t>
  </si>
  <si>
    <t xml:space="preserve"> 2021-07-06 </t>
  </si>
  <si>
    <t xml:space="preserve"> 2021-10-19 </t>
  </si>
  <si>
    <t xml:space="preserve"> 2021-07-23 </t>
  </si>
  <si>
    <t xml:space="preserve"> 2021-10-20 </t>
  </si>
  <si>
    <t xml:space="preserve"> 2021-10-28 </t>
  </si>
  <si>
    <t xml:space="preserve"> 2021-06-30 </t>
  </si>
  <si>
    <t xml:space="preserve"> 2021-10-25 </t>
  </si>
  <si>
    <t xml:space="preserve"> 2021-10-29 </t>
  </si>
  <si>
    <t xml:space="preserve"> 2021-07-01 </t>
  </si>
  <si>
    <t xml:space="preserve"> 2021-11-01 </t>
  </si>
  <si>
    <t xml:space="preserve"> 2021-09-09 </t>
  </si>
  <si>
    <t xml:space="preserve"> 2021-11-02 </t>
  </si>
  <si>
    <t xml:space="preserve"> 2021-08-05 </t>
  </si>
  <si>
    <t xml:space="preserve"> 2021-09-08 </t>
  </si>
  <si>
    <t xml:space="preserve"> 2021-09-02 </t>
  </si>
  <si>
    <t xml:space="preserve"> 2021-11-19 </t>
  </si>
  <si>
    <t xml:space="preserve"> 2021-09-22 </t>
  </si>
  <si>
    <t xml:space="preserve"> 2021-12-07 </t>
  </si>
  <si>
    <t xml:space="preserve"> MRNA   </t>
  </si>
  <si>
    <t xml:space="preserve"> 2021-11-26 </t>
  </si>
  <si>
    <t xml:space="preserve"> 2021-12-10 </t>
  </si>
  <si>
    <t xml:space="preserve"> 2021-11-30 </t>
  </si>
  <si>
    <t xml:space="preserve"> 2021-12-01 </t>
  </si>
  <si>
    <t xml:space="preserve"> 2021-12-14 </t>
  </si>
  <si>
    <t xml:space="preserve"> 2021-10-21 </t>
  </si>
  <si>
    <t xml:space="preserve"> 2021-10-22 </t>
  </si>
  <si>
    <t xml:space="preserve"> 2021-12-02 </t>
  </si>
  <si>
    <t xml:space="preserve"> 2021-07-02 </t>
  </si>
  <si>
    <t xml:space="preserve"> 2021-12-17 </t>
  </si>
  <si>
    <t xml:space="preserve"> 2021-08-24 </t>
  </si>
  <si>
    <t xml:space="preserve"> 2021-12-22 </t>
  </si>
  <si>
    <t xml:space="preserve"> 2021-08-26 </t>
  </si>
  <si>
    <t xml:space="preserve"> 2021-09-14 </t>
  </si>
  <si>
    <t xml:space="preserve"> 2021-08-23 </t>
  </si>
  <si>
    <t xml:space="preserve"> 2021-12-23 </t>
  </si>
  <si>
    <t xml:space="preserve"> 2021-12-27 </t>
  </si>
  <si>
    <t xml:space="preserve"> 2021-12-29 </t>
  </si>
  <si>
    <t xml:space="preserve"> 2021-09-16 </t>
  </si>
  <si>
    <t xml:space="preserve"> 2022-01-04 </t>
  </si>
  <si>
    <t xml:space="preserve"> 2021-12-08 </t>
  </si>
  <si>
    <t xml:space="preserve"> 2022-01-05 </t>
  </si>
  <si>
    <t xml:space="preserve"> 2021-12-28 </t>
  </si>
  <si>
    <t xml:space="preserve"> 2021-12-30 </t>
  </si>
  <si>
    <t xml:space="preserve"> 2022-01-11 </t>
  </si>
  <si>
    <t xml:space="preserve"> 2021-12-20 </t>
  </si>
  <si>
    <t xml:space="preserve"> 2022-01-19 </t>
  </si>
  <si>
    <t xml:space="preserve"> 2021-12-13 </t>
  </si>
  <si>
    <t xml:space="preserve"> 2021-12-21 </t>
  </si>
  <si>
    <t xml:space="preserve"> 2021-12-31 </t>
  </si>
  <si>
    <t xml:space="preserve"> 2022-01-06 </t>
  </si>
  <si>
    <t xml:space="preserve"> 2022-01-12 </t>
  </si>
  <si>
    <t xml:space="preserve"> 2022-01-14 </t>
  </si>
  <si>
    <t xml:space="preserve"> IAU    </t>
  </si>
  <si>
    <t xml:space="preserve"> 2021-11-05 </t>
  </si>
  <si>
    <t xml:space="preserve"> 2022-01-21 </t>
  </si>
  <si>
    <t xml:space="preserve"> QLD    </t>
  </si>
  <si>
    <t xml:space="preserve"> 2021-12-03 </t>
  </si>
  <si>
    <t xml:space="preserve"> 2022-01-25 </t>
  </si>
  <si>
    <t xml:space="preserve"> 2021-12-15 </t>
  </si>
  <si>
    <t xml:space="preserve"> 2022-02-09 </t>
  </si>
  <si>
    <t xml:space="preserve"> 2022-02-11 </t>
  </si>
  <si>
    <t xml:space="preserve"> 2021-09-15 </t>
  </si>
  <si>
    <t xml:space="preserve"> 2022-02-22 </t>
  </si>
  <si>
    <t xml:space="preserve"> 2022-01-13 </t>
  </si>
  <si>
    <t xml:space="preserve"> 2022-02-02 </t>
  </si>
  <si>
    <t xml:space="preserve"> 2022-02-03 </t>
  </si>
  <si>
    <t xml:space="preserve"> 2022-03-07 </t>
  </si>
  <si>
    <t xml:space="preserve"> 2022-02-04 </t>
  </si>
  <si>
    <t xml:space="preserve"> 2022-02-18 </t>
  </si>
  <si>
    <t xml:space="preserve"> 2022-02-28 </t>
  </si>
  <si>
    <t xml:space="preserve"> LYV    </t>
  </si>
  <si>
    <t xml:space="preserve"> 2022-03-14 </t>
  </si>
  <si>
    <t xml:space="preserve"> 2022-04-19 </t>
  </si>
  <si>
    <t xml:space="preserve"> 2022-03-25 </t>
  </si>
  <si>
    <t xml:space="preserve"> 2022-04-22 </t>
  </si>
  <si>
    <t xml:space="preserve"> 2022-03-29 </t>
  </si>
  <si>
    <t xml:space="preserve"> 2022-03-30 </t>
  </si>
  <si>
    <t xml:space="preserve"> 2022-03-31 </t>
  </si>
  <si>
    <t xml:space="preserve"> 2022-04-01 </t>
  </si>
  <si>
    <t xml:space="preserve"> 2022-04-18 </t>
  </si>
  <si>
    <t xml:space="preserve"> PSX    </t>
  </si>
  <si>
    <t xml:space="preserve"> 2022-03-17 </t>
  </si>
  <si>
    <t xml:space="preserve"> 2022-04-26 </t>
  </si>
  <si>
    <t xml:space="preserve"> 2022-04-27 </t>
  </si>
  <si>
    <t xml:space="preserve"> 2022-04-29 </t>
  </si>
  <si>
    <t xml:space="preserve"> EXPE   </t>
  </si>
  <si>
    <t xml:space="preserve"> 2022-03-16 </t>
  </si>
  <si>
    <t xml:space="preserve"> 2022-05-03 </t>
  </si>
  <si>
    <t xml:space="preserve"> 2022-03-01 </t>
  </si>
  <si>
    <t xml:space="preserve"> 2022-05-06 </t>
  </si>
  <si>
    <t xml:space="preserve"> 2022-03-15 </t>
  </si>
  <si>
    <t xml:space="preserve"> 2022-05-04 </t>
  </si>
  <si>
    <t xml:space="preserve"> 2022-05-09 </t>
  </si>
  <si>
    <t xml:space="preserve"> 2022-04-20 </t>
  </si>
  <si>
    <t xml:space="preserve"> 2022-05-19 </t>
  </si>
  <si>
    <t xml:space="preserve"> 2022-04-21 </t>
  </si>
  <si>
    <t xml:space="preserve"> 2022-04-25 </t>
  </si>
  <si>
    <t xml:space="preserve"> 2022-03-23 </t>
  </si>
  <si>
    <t xml:space="preserve"> 2022-05-31 </t>
  </si>
  <si>
    <t xml:space="preserve"> 2022-03-24 </t>
  </si>
  <si>
    <t xml:space="preserve"> 2022-03-11 </t>
  </si>
  <si>
    <t xml:space="preserve"> 2022-06-06 </t>
  </si>
  <si>
    <t xml:space="preserve"> 2022-03-10 </t>
  </si>
  <si>
    <t xml:space="preserve"> 2022-06-08 </t>
  </si>
  <si>
    <t xml:space="preserve"> 2022-06-13 </t>
  </si>
  <si>
    <t xml:space="preserve"> 2022-05-02 </t>
  </si>
  <si>
    <t xml:space="preserve"> 2022-03-28 </t>
  </si>
  <si>
    <t xml:space="preserve"> 2022-06-17 </t>
  </si>
  <si>
    <t xml:space="preserve"> NUE    </t>
  </si>
  <si>
    <t xml:space="preserve"> 2022-05-25 </t>
  </si>
  <si>
    <t xml:space="preserve"> 2022-06-23 </t>
  </si>
  <si>
    <t xml:space="preserve"> 2022-04-28 </t>
  </si>
  <si>
    <t xml:space="preserve"> 2022-07-05 </t>
  </si>
  <si>
    <t xml:space="preserve"> 2022-05-05 </t>
  </si>
  <si>
    <t xml:space="preserve"> 2022-07-14 </t>
  </si>
  <si>
    <t xml:space="preserve"> OXY    </t>
  </si>
  <si>
    <t xml:space="preserve"> 2022-06-30 </t>
  </si>
  <si>
    <t xml:space="preserve"> 2022-07-29 </t>
  </si>
  <si>
    <t xml:space="preserve"> CF     </t>
  </si>
  <si>
    <t xml:space="preserve"> 2022-08-02 </t>
  </si>
  <si>
    <t xml:space="preserve"> 2022-06-16 </t>
  </si>
  <si>
    <t xml:space="preserve"> 2022-08-05 </t>
  </si>
  <si>
    <t xml:space="preserve"> ALB    </t>
  </si>
  <si>
    <t xml:space="preserve"> 2022-08-08 </t>
  </si>
  <si>
    <t xml:space="preserve"> 2022-05-20 </t>
  </si>
  <si>
    <t xml:space="preserve"> 2022-05-17 </t>
  </si>
  <si>
    <t xml:space="preserve"> 2022-08-10 </t>
  </si>
  <si>
    <t xml:space="preserve"> 2022-05-18 </t>
  </si>
  <si>
    <t xml:space="preserve"> 2022-05-23 </t>
  </si>
  <si>
    <t xml:space="preserve"> 2022-05-24 </t>
  </si>
  <si>
    <t xml:space="preserve"> DVN    </t>
  </si>
  <si>
    <t xml:space="preserve"> 2022-06-29 </t>
  </si>
  <si>
    <t xml:space="preserve"> 2022-06-27 </t>
  </si>
  <si>
    <t xml:space="preserve"> 2022-08-11 </t>
  </si>
  <si>
    <t xml:space="preserve"> VLO    </t>
  </si>
  <si>
    <t xml:space="preserve"> 2022-07-12 </t>
  </si>
  <si>
    <t xml:space="preserve"> 2022-08-17 </t>
  </si>
  <si>
    <t xml:space="preserve"> MTB    </t>
  </si>
  <si>
    <t xml:space="preserve"> 2022-04-08 </t>
  </si>
  <si>
    <t xml:space="preserve"> 2022-08-19 </t>
  </si>
  <si>
    <t xml:space="preserve"> 2022-08-31 </t>
  </si>
  <si>
    <t xml:space="preserve"> 2022-09-02 </t>
  </si>
  <si>
    <t xml:space="preserve"> 2022-09-06 </t>
  </si>
  <si>
    <t xml:space="preserve"> 2022-09-09 </t>
  </si>
  <si>
    <t xml:space="preserve"> 2022-09-13 </t>
  </si>
  <si>
    <t xml:space="preserve"> 2022-09-16 </t>
  </si>
  <si>
    <t xml:space="preserve"> MOS    </t>
  </si>
  <si>
    <t xml:space="preserve"> 2022-08-12 </t>
  </si>
  <si>
    <t xml:space="preserve"> 2022-09-26 </t>
  </si>
  <si>
    <t xml:space="preserve"> 2022-08-30 </t>
  </si>
  <si>
    <t xml:space="preserve"> 2022-10-17 </t>
  </si>
  <si>
    <t xml:space="preserve"> 2022-10-13 </t>
  </si>
  <si>
    <t xml:space="preserve"> 2022-10-27 </t>
  </si>
  <si>
    <t xml:space="preserve"> 2022-10-19 </t>
  </si>
  <si>
    <t xml:space="preserve"> 2022-10-20 </t>
  </si>
  <si>
    <t xml:space="preserve"> 2022-10-18 </t>
  </si>
  <si>
    <t xml:space="preserve"> 2022-10-31 </t>
  </si>
  <si>
    <t xml:space="preserve"> 2022-09-19 </t>
  </si>
  <si>
    <t xml:space="preserve"> 2022-11-07 </t>
  </si>
  <si>
    <t xml:space="preserve"> 2022-10-03 </t>
  </si>
  <si>
    <t xml:space="preserve"> 2022-10-11 </t>
  </si>
  <si>
    <t xml:space="preserve"> 2022-10-07 </t>
  </si>
  <si>
    <t xml:space="preserve"> 2022-11-10 </t>
  </si>
  <si>
    <t xml:space="preserve"> ON     </t>
  </si>
  <si>
    <t xml:space="preserve"> 2022-10-10 </t>
  </si>
  <si>
    <t xml:space="preserve"> 2022-09-15 </t>
  </si>
  <si>
    <t xml:space="preserve"> 2022-11-11 </t>
  </si>
  <si>
    <t xml:space="preserve"> 2022-10-24 </t>
  </si>
  <si>
    <t xml:space="preserve"> 2022-04-11 </t>
  </si>
  <si>
    <t xml:space="preserve"> 2022-11-18 </t>
  </si>
  <si>
    <t xml:space="preserve"> 2022-05-12 </t>
  </si>
  <si>
    <t xml:space="preserve"> 2022-09-29 </t>
  </si>
  <si>
    <t xml:space="preserve"> 2022-11-22 </t>
  </si>
  <si>
    <t xml:space="preserve"> 2022-09-30 </t>
  </si>
  <si>
    <t xml:space="preserve"> 2022-11-25 </t>
  </si>
  <si>
    <t xml:space="preserve"> 2022-11-28 </t>
  </si>
  <si>
    <t xml:space="preserve"> 2022-11-30 </t>
  </si>
  <si>
    <t xml:space="preserve"> 2022-09-08 </t>
  </si>
  <si>
    <t xml:space="preserve"> 2022-09-28 </t>
  </si>
  <si>
    <t xml:space="preserve"> 2022-12-02 </t>
  </si>
  <si>
    <t xml:space="preserve"> EQT    </t>
  </si>
  <si>
    <t xml:space="preserve"> 2022-10-04 </t>
  </si>
  <si>
    <t xml:space="preserve"> 2022-12-08 </t>
  </si>
  <si>
    <t xml:space="preserve"> 2022-10-06 </t>
  </si>
  <si>
    <t xml:space="preserve"> 2022-11-08 </t>
  </si>
  <si>
    <t xml:space="preserve"> 2023-01-03 </t>
  </si>
  <si>
    <t xml:space="preserve"> 2022-09-21 </t>
  </si>
  <si>
    <t xml:space="preserve"> 2022-11-09 </t>
  </si>
  <si>
    <t xml:space="preserve"> 2023-01-06 </t>
  </si>
  <si>
    <t xml:space="preserve"> 2022-12-07 </t>
  </si>
  <si>
    <t xml:space="preserve"> 2022-12-15 </t>
  </si>
  <si>
    <t xml:space="preserve"> 2022-12-19 </t>
  </si>
  <si>
    <t xml:space="preserve"> 2022-12-21 </t>
  </si>
  <si>
    <t xml:space="preserve"> 2022-12-22 </t>
  </si>
  <si>
    <t xml:space="preserve"> 2022-12-23 </t>
  </si>
  <si>
    <t xml:space="preserve"> 2022-10-14 </t>
  </si>
  <si>
    <t xml:space="preserve"> 2023-01-12 </t>
  </si>
  <si>
    <t xml:space="preserve"> 2022-11-21 </t>
  </si>
  <si>
    <t xml:space="preserve"> 2023-01-13 </t>
  </si>
  <si>
    <t xml:space="preserve"> 2022-11-29 </t>
  </si>
  <si>
    <t xml:space="preserve"> 2022-12-05 </t>
  </si>
  <si>
    <t xml:space="preserve"> 2022-12-06 </t>
  </si>
  <si>
    <t xml:space="preserve"> 2022-09-22 </t>
  </si>
  <si>
    <t xml:space="preserve"> 2023-01-17 </t>
  </si>
  <si>
    <t xml:space="preserve"> EPAM   </t>
  </si>
  <si>
    <t xml:space="preserve"> 2022-11-17 </t>
  </si>
  <si>
    <t xml:space="preserve"> 2022-12-28 </t>
  </si>
  <si>
    <t xml:space="preserve"> 2023-01-18 </t>
  </si>
  <si>
    <t xml:space="preserve"> 2023-01-19 </t>
  </si>
  <si>
    <t xml:space="preserve"> RJF    </t>
  </si>
  <si>
    <t xml:space="preserve"> 2022-09-07 </t>
  </si>
  <si>
    <t xml:space="preserve"> 2023-01-20 </t>
  </si>
  <si>
    <t xml:space="preserve"> 2022-12-27 </t>
  </si>
  <si>
    <t xml:space="preserve"> 2022-09-14 </t>
  </si>
  <si>
    <t xml:space="preserve"> 2023-01-23 </t>
  </si>
  <si>
    <t xml:space="preserve"> 2023-01-04 </t>
  </si>
  <si>
    <t xml:space="preserve"> 2023-01-05 </t>
  </si>
  <si>
    <t xml:space="preserve"> 2022-10-25 </t>
  </si>
  <si>
    <t xml:space="preserve"> 2023-02-01 </t>
  </si>
  <si>
    <t xml:space="preserve"> 2022-10-26 </t>
  </si>
  <si>
    <t xml:space="preserve"> 2022-12-14 </t>
  </si>
  <si>
    <t xml:space="preserve"> 2023-02-02 </t>
  </si>
  <si>
    <t xml:space="preserve"> 2022-11-23 </t>
  </si>
  <si>
    <t xml:space="preserve"> 2023-02-24 </t>
  </si>
  <si>
    <t xml:space="preserve"> 2022-12-13 </t>
  </si>
  <si>
    <t xml:space="preserve"> 2023-02-06 </t>
  </si>
  <si>
    <t xml:space="preserve"> 2023-02-08 </t>
  </si>
  <si>
    <t xml:space="preserve"> 2023-02-16 </t>
  </si>
  <si>
    <t xml:space="preserve"> 2023-03-01 </t>
  </si>
  <si>
    <t xml:space="preserve"> 2023-01-31 </t>
  </si>
  <si>
    <t xml:space="preserve"> 2023-04-18 </t>
  </si>
  <si>
    <t xml:space="preserve"> 2023-03-14 </t>
  </si>
  <si>
    <t xml:space="preserve"> 2023-04-21 </t>
  </si>
  <si>
    <t xml:space="preserve"> 2023-02-22 </t>
  </si>
  <si>
    <t xml:space="preserve"> 2023-04-25 </t>
  </si>
  <si>
    <t xml:space="preserve"> 2023-02-28 </t>
  </si>
  <si>
    <t xml:space="preserve"> 2023-04-10 </t>
  </si>
  <si>
    <t xml:space="preserve"> 2023-02-10 </t>
  </si>
  <si>
    <t xml:space="preserve"> 2023-04-28 </t>
  </si>
  <si>
    <t xml:space="preserve"> 2023-03-20 </t>
  </si>
  <si>
    <t xml:space="preserve"> 2023-05-01 </t>
  </si>
  <si>
    <t xml:space="preserve"> 2023-03-15 </t>
  </si>
  <si>
    <t xml:space="preserve"> 2023-05-10 </t>
  </si>
  <si>
    <t xml:space="preserve"> 2023-04-20 </t>
  </si>
  <si>
    <t xml:space="preserve"> 2023-05-18 </t>
  </si>
  <si>
    <t xml:space="preserve"> 2023-05-24 </t>
  </si>
  <si>
    <t xml:space="preserve"> 2023-05-25 </t>
  </si>
  <si>
    <t xml:space="preserve"> 2023-02-17 </t>
  </si>
  <si>
    <t xml:space="preserve"> 2023-06-01 </t>
  </si>
  <si>
    <t xml:space="preserve"> 2023-04-19 </t>
  </si>
  <si>
    <t xml:space="preserve"> 2023-06-07 </t>
  </si>
  <si>
    <t xml:space="preserve"> CZR    </t>
  </si>
  <si>
    <t xml:space="preserve"> 2023-01-30 </t>
  </si>
  <si>
    <t xml:space="preserve"> 2023-06-08 </t>
  </si>
  <si>
    <t xml:space="preserve"> 2023-06-12 </t>
  </si>
  <si>
    <t xml:space="preserve"> 2023-06-15 </t>
  </si>
  <si>
    <t xml:space="preserve"> 2023-05-02 </t>
  </si>
  <si>
    <t xml:space="preserve"> 2023-06-16 </t>
  </si>
  <si>
    <t xml:space="preserve"> KMX    </t>
  </si>
  <si>
    <t xml:space="preserve"> 2023-05-17 </t>
  </si>
  <si>
    <t xml:space="preserve"> 2023-06-23 </t>
  </si>
  <si>
    <t xml:space="preserve"> 2023-04-27 </t>
  </si>
  <si>
    <t xml:space="preserve"> 2023-06-28 </t>
  </si>
  <si>
    <t xml:space="preserve"> 2023-06-29 </t>
  </si>
  <si>
    <t xml:space="preserve"> GNRC   </t>
  </si>
  <si>
    <t xml:space="preserve"> 2023-06-14 </t>
  </si>
  <si>
    <t xml:space="preserve"> 2023-07-03 </t>
  </si>
  <si>
    <t xml:space="preserve"> FSLR   </t>
  </si>
  <si>
    <t xml:space="preserve"> 2023-05-05 </t>
  </si>
  <si>
    <t xml:space="preserve"> 2023-07-12 </t>
  </si>
  <si>
    <t xml:space="preserve"> 2023-05-19 </t>
  </si>
  <si>
    <t xml:space="preserve"> 2023-07-13 </t>
  </si>
  <si>
    <t xml:space="preserve"> 2023-07-17 </t>
  </si>
  <si>
    <t xml:space="preserve"> 2023-06-06 </t>
  </si>
  <si>
    <t xml:space="preserve"> 2023-07-18 </t>
  </si>
  <si>
    <t xml:space="preserve"> 2023-08-16 </t>
  </si>
  <si>
    <t xml:space="preserve"> 2023-10-25 </t>
  </si>
  <si>
    <t xml:space="preserve"> 2023-08-22 </t>
  </si>
  <si>
    <t xml:space="preserve"> 2023-10-26 </t>
  </si>
  <si>
    <t xml:space="preserve"> TQQQ   </t>
  </si>
  <si>
    <t xml:space="preserve"> 2023-10-03 </t>
  </si>
  <si>
    <t xml:space="preserve"> 2023-11-14 </t>
  </si>
  <si>
    <t xml:space="preserve"> 2023-09-28 </t>
  </si>
  <si>
    <t xml:space="preserve"> 2023-11-15 </t>
  </si>
  <si>
    <t xml:space="preserve"> 2023-10-02 </t>
  </si>
  <si>
    <t xml:space="preserve"> 2023-11-20 </t>
  </si>
  <si>
    <t xml:space="preserve"> ABNB   </t>
  </si>
  <si>
    <t xml:space="preserve"> 2023-10-04 </t>
  </si>
  <si>
    <t xml:space="preserve"> 2023-12-07 </t>
  </si>
  <si>
    <t xml:space="preserve"> 2023-10-06 </t>
  </si>
  <si>
    <t xml:space="preserve"> 2023-10-10 </t>
  </si>
  <si>
    <t xml:space="preserve"> 2023-12-11 </t>
  </si>
  <si>
    <t xml:space="preserve"> TSLA   </t>
  </si>
  <si>
    <t xml:space="preserve"> 2023-09-29 </t>
  </si>
  <si>
    <t xml:space="preserve"> 2024-01-22 </t>
  </si>
  <si>
    <t xml:space="preserve"> 2023-10-05 </t>
  </si>
  <si>
    <t xml:space="preserve"> 2023-10-16 </t>
  </si>
  <si>
    <t xml:space="preserve"> 2023-12-20 </t>
  </si>
  <si>
    <t xml:space="preserve"> 2023-12-21 </t>
  </si>
  <si>
    <t xml:space="preserve"> 2023-12-22 </t>
  </si>
  <si>
    <t xml:space="preserve"> 2024-04-22 </t>
  </si>
  <si>
    <t xml:space="preserve"> 2024-05-20 </t>
  </si>
  <si>
    <t xml:space="preserve"> 2024-05-02 </t>
  </si>
  <si>
    <t xml:space="preserve"> 2024-05-23 </t>
  </si>
  <si>
    <t xml:space="preserve"> 2024-04-30 </t>
  </si>
  <si>
    <t xml:space="preserve"> 2024-05-24 </t>
  </si>
  <si>
    <t xml:space="preserve"> 2024-04-24 </t>
  </si>
  <si>
    <t xml:space="preserve"> 2024-05-29 </t>
  </si>
  <si>
    <t xml:space="preserve"> 2024-05-01 </t>
  </si>
  <si>
    <t xml:space="preserve"> 2024-06-04 </t>
  </si>
  <si>
    <t xml:space="preserve"> 2024-04-23 </t>
  </si>
  <si>
    <t xml:space="preserve"> 2024-06-05 </t>
  </si>
  <si>
    <t xml:space="preserve"> 2024-04-25 </t>
  </si>
  <si>
    <t xml:space="preserve"> 2024-04-29 </t>
  </si>
  <si>
    <t xml:space="preserve"> 2024-04-26 </t>
  </si>
  <si>
    <t xml:space="preserve"> 2024-06-13 </t>
  </si>
  <si>
    <t xml:space="preserve"> 2024-05-03 </t>
  </si>
  <si>
    <t xml:space="preserve"> 2024-06-17 </t>
  </si>
  <si>
    <t xml:space="preserve"> 2024-05-08 </t>
  </si>
  <si>
    <t xml:space="preserve"> 2024-05-06 </t>
  </si>
  <si>
    <t xml:space="preserve"> 2024-06-27 </t>
  </si>
  <si>
    <t xml:space="preserve"> 2024-05-10 </t>
  </si>
  <si>
    <t xml:space="preserve"> 2024-05-07 </t>
  </si>
  <si>
    <t xml:space="preserve"> 2024-07-01 </t>
  </si>
  <si>
    <t xml:space="preserve"> 2024-05-30 </t>
  </si>
  <si>
    <t xml:space="preserve"> 2024-06-03 </t>
  </si>
  <si>
    <t xml:space="preserve"> 2024-06-07 </t>
  </si>
  <si>
    <t xml:space="preserve"> 2024-06-10 </t>
  </si>
  <si>
    <t xml:space="preserve"> 2024-06-11 </t>
  </si>
  <si>
    <t xml:space="preserve"> 2024-06-14 </t>
  </si>
  <si>
    <t xml:space="preserve"> 2024-05-09 </t>
  </si>
  <si>
    <t xml:space="preserve"> 2024-07-02 </t>
  </si>
  <si>
    <t xml:space="preserve"> 2024-05-31 </t>
  </si>
  <si>
    <t xml:space="preserve"> 2024-07-09 </t>
  </si>
  <si>
    <t xml:space="preserve"> 2024-06-20 </t>
  </si>
  <si>
    <t xml:space="preserve"> 2024-07-25 </t>
  </si>
  <si>
    <t xml:space="preserve"> 2024-06-28 </t>
  </si>
  <si>
    <t xml:space="preserve"> 2024-07-05 </t>
  </si>
  <si>
    <t xml:space="preserve"> 2024-08-01 </t>
  </si>
  <si>
    <t xml:space="preserve"> 2024-07-08 </t>
  </si>
  <si>
    <t xml:space="preserve"> 2024-07-11 </t>
  </si>
  <si>
    <t xml:space="preserve"> 2024-07-31 </t>
  </si>
  <si>
    <t xml:space="preserve"> VST    </t>
  </si>
  <si>
    <t xml:space="preserve"> 2024-08-05 </t>
  </si>
  <si>
    <t xml:space="preserve"> 2024-08-19 </t>
  </si>
  <si>
    <t xml:space="preserve"> NVDA   </t>
  </si>
  <si>
    <t xml:space="preserve"> 2024-08-06 </t>
  </si>
  <si>
    <t xml:space="preserve"> 2024-08-08 </t>
  </si>
  <si>
    <t xml:space="preserve"> 2024-08-02 </t>
  </si>
  <si>
    <t xml:space="preserve"> 2024-08-23 </t>
  </si>
  <si>
    <t xml:space="preserve"> 2024-08-09 </t>
  </si>
  <si>
    <t xml:space="preserve"> 2024-08-27 </t>
  </si>
  <si>
    <t xml:space="preserve"> 2024-07-24 </t>
  </si>
  <si>
    <t xml:space="preserve"> 2024-08-30 </t>
  </si>
  <si>
    <t xml:space="preserve"> 2024-08-07 </t>
  </si>
  <si>
    <t xml:space="preserve"> 2024-09-18 </t>
  </si>
  <si>
    <t xml:space="preserve"> 2024-08-12 </t>
  </si>
  <si>
    <t xml:space="preserve"> 2024-09-19 </t>
  </si>
  <si>
    <t xml:space="preserve"> 2024-09-12 </t>
  </si>
  <si>
    <t xml:space="preserve"> 2024-09-20 </t>
  </si>
  <si>
    <t xml:space="preserve"> 2024-09-23 </t>
  </si>
  <si>
    <t xml:space="preserve"> 2024-09-06 </t>
  </si>
  <si>
    <t xml:space="preserve"> 2024-09-27 </t>
  </si>
  <si>
    <t xml:space="preserve"> 2024-09-10 </t>
  </si>
  <si>
    <t xml:space="preserve"> 2024-10-08 </t>
  </si>
  <si>
    <t xml:space="preserve"> 2024-10-14 </t>
  </si>
  <si>
    <t xml:space="preserve"> 2024-10-15 </t>
  </si>
  <si>
    <t xml:space="preserve"> 2024-08-26 </t>
  </si>
  <si>
    <t xml:space="preserve"> 2024-08-13 </t>
  </si>
  <si>
    <t xml:space="preserve"> 2024-10-21 </t>
  </si>
  <si>
    <t xml:space="preserve"> 2024-09-03 </t>
  </si>
  <si>
    <t xml:space="preserve"> 2024-10-24 </t>
  </si>
  <si>
    <t xml:space="preserve"> 2024-08-14 </t>
  </si>
  <si>
    <t xml:space="preserve"> 2024-10-29 </t>
  </si>
  <si>
    <t xml:space="preserve"> 2024-08-15 </t>
  </si>
  <si>
    <t xml:space="preserve"> 2024-11-06 </t>
  </si>
  <si>
    <t xml:space="preserve"> 2024-08-16 </t>
  </si>
  <si>
    <t xml:space="preserve"> 2024-08-20 </t>
  </si>
  <si>
    <t xml:space="preserve"> 2024-09-24 </t>
  </si>
  <si>
    <t xml:space="preserve"> 2024-10-10 </t>
  </si>
  <si>
    <t xml:space="preserve"> 2024-10-18 </t>
  </si>
  <si>
    <t xml:space="preserve"> 2024-10-22 </t>
  </si>
  <si>
    <t xml:space="preserve"> 2024-10-23 </t>
  </si>
  <si>
    <t xml:space="preserve"> 2024-11-07 </t>
  </si>
  <si>
    <t xml:space="preserve"> 2024-09-25 </t>
  </si>
  <si>
    <t xml:space="preserve"> 2024-11-12 </t>
  </si>
  <si>
    <t xml:space="preserve"> 2024-10-01 </t>
  </si>
  <si>
    <t xml:space="preserve"> 2024-10-02 </t>
  </si>
  <si>
    <t xml:space="preserve"> 2024-10-09 </t>
  </si>
  <si>
    <t xml:space="preserve"> 2025-01-21 </t>
  </si>
  <si>
    <t xml:space="preserve"> 2025-01-22 </t>
  </si>
  <si>
    <t xml:space="preserve"> 2024-12-17 </t>
  </si>
  <si>
    <t xml:space="preserve"> 2025-01-23 </t>
  </si>
  <si>
    <t xml:space="preserve"> DELL   </t>
  </si>
  <si>
    <t xml:space="preserve"> 2024-11-04 </t>
  </si>
  <si>
    <t xml:space="preserve"> 2025-01-28 </t>
  </si>
  <si>
    <t xml:space="preserve"> 2024-11-22 </t>
  </si>
  <si>
    <t xml:space="preserve"> 2025-02-13 </t>
  </si>
  <si>
    <t xml:space="preserve"> 2024-11-14 </t>
  </si>
  <si>
    <t xml:space="preserve"> 2025-02-14 </t>
  </si>
  <si>
    <t xml:space="preserve"> 2025-02-18 </t>
  </si>
  <si>
    <t xml:space="preserve"> 2024-12-30 </t>
  </si>
  <si>
    <t xml:space="preserve"> 2025-03-06 </t>
  </si>
  <si>
    <t xml:space="preserve"> 2025-02-20 </t>
  </si>
  <si>
    <t xml:space="preserve"> 2024-12-19 </t>
  </si>
  <si>
    <t xml:space="preserve"> 2025-03-10 </t>
  </si>
  <si>
    <t xml:space="preserve"> 2024-12-20 </t>
  </si>
  <si>
    <t xml:space="preserve"> 2024-12-23 </t>
  </si>
  <si>
    <t xml:space="preserve"> 2024-12-24 </t>
  </si>
  <si>
    <t xml:space="preserve"> 2024-12-27 </t>
  </si>
  <si>
    <t xml:space="preserve"> 2024-12-31 </t>
  </si>
  <si>
    <t xml:space="preserve"> 2025-02-19 </t>
  </si>
  <si>
    <t xml:space="preserve"> 2025-02-28 </t>
  </si>
  <si>
    <t xml:space="preserve"> 2025-03-11 </t>
  </si>
  <si>
    <t xml:space="preserve"> 2025-03-24 </t>
  </si>
  <si>
    <t xml:space="preserve"> 2025-04-03 </t>
  </si>
  <si>
    <t xml:space="preserve"> IBIT   </t>
  </si>
  <si>
    <t xml:space="preserve"> 2025-04-23 </t>
  </si>
  <si>
    <t xml:space="preserve"> PLTR   </t>
  </si>
  <si>
    <t xml:space="preserve"> 2025-03-13 </t>
  </si>
  <si>
    <t xml:space="preserve"> 2025-04-25 </t>
  </si>
  <si>
    <t xml:space="preserve"> GEV    </t>
  </si>
  <si>
    <t xml:space="preserve"> 2025-03-14 </t>
  </si>
  <si>
    <t xml:space="preserve"> 2025-03-18 </t>
  </si>
  <si>
    <t xml:space="preserve"> 2025-04-10 </t>
  </si>
  <si>
    <t xml:space="preserve"> 2025-03-03 </t>
  </si>
  <si>
    <t xml:space="preserve"> 2025-05-01 </t>
  </si>
  <si>
    <t xml:space="preserve"> 2025-03-04 </t>
  </si>
  <si>
    <t xml:space="preserve"> AXON   </t>
  </si>
  <si>
    <t xml:space="preserve"> 2025-03-05 </t>
  </si>
  <si>
    <t xml:space="preserve"> 2025-05-02 </t>
  </si>
  <si>
    <t xml:space="preserve"> 2025-04-21 </t>
  </si>
  <si>
    <t xml:space="preserve"> NRG    </t>
  </si>
  <si>
    <t xml:space="preserve"> 2025-04-15 </t>
  </si>
  <si>
    <t xml:space="preserve"> 2025-05-05 </t>
  </si>
  <si>
    <t xml:space="preserve"> 2025-04-16 </t>
  </si>
  <si>
    <t xml:space="preserve"> 2025-03-20 </t>
  </si>
  <si>
    <t xml:space="preserve"> 2025-05-07 </t>
  </si>
  <si>
    <t xml:space="preserve"> 2025-03-27 </t>
  </si>
  <si>
    <t xml:space="preserve"> 2025-05-08 </t>
  </si>
  <si>
    <t xml:space="preserve"> 2025-03-28 </t>
  </si>
  <si>
    <t xml:space="preserve"> 2025-03-25 </t>
  </si>
  <si>
    <t xml:space="preserve"> 2025-05-09 </t>
  </si>
  <si>
    <t xml:space="preserve"> 2025-03-26 </t>
  </si>
  <si>
    <t xml:space="preserve"> 2025-03-17 </t>
  </si>
  <si>
    <t xml:space="preserve"> 2025-05-12 </t>
  </si>
  <si>
    <t xml:space="preserve"> 2025-03-19 </t>
  </si>
  <si>
    <t xml:space="preserve"> 2025-03-21 </t>
  </si>
  <si>
    <t xml:space="preserve"> 2025-04-02 </t>
  </si>
  <si>
    <t xml:space="preserve"> TPL    </t>
  </si>
  <si>
    <t xml:space="preserve"> 2025-04-11 </t>
  </si>
  <si>
    <t xml:space="preserve"> 2025-04-17 </t>
  </si>
  <si>
    <t xml:space="preserve"> 2025-04-14 </t>
  </si>
  <si>
    <t xml:space="preserve"> 2025-05-13 </t>
  </si>
  <si>
    <t xml:space="preserve"> 2025-04-24 </t>
  </si>
  <si>
    <t xml:space="preserve"> 2025-04-28 </t>
  </si>
  <si>
    <t xml:space="preserve"> 2025-05-15 </t>
  </si>
  <si>
    <t xml:space="preserve"> 2025-04-29 </t>
  </si>
  <si>
    <t xml:space="preserve"> 2025-05-16 </t>
  </si>
  <si>
    <t xml:space="preserve"> 2025-04-22 </t>
  </si>
  <si>
    <t xml:space="preserve"> 2025-05-27 </t>
  </si>
  <si>
    <t xml:space="preserve"> AVGO   </t>
  </si>
  <si>
    <t xml:space="preserve"> 2025-05-29 </t>
  </si>
  <si>
    <t xml:space="preserve"> 2025-06-02 </t>
  </si>
  <si>
    <t xml:space="preserve"> DASH   </t>
  </si>
  <si>
    <t xml:space="preserve"> 2025-04-30 </t>
  </si>
  <si>
    <t xml:space="preserve"> 2025-06-04 </t>
  </si>
  <si>
    <t xml:space="preserve"> 2025-06-09 </t>
  </si>
  <si>
    <t xml:space="preserve"> 2025-05-06 </t>
  </si>
  <si>
    <t xml:space="preserve"> 2025-06-16 </t>
  </si>
  <si>
    <t xml:space="preserve"> COIN   </t>
  </si>
  <si>
    <t xml:space="preserve"> 2025-05-23 </t>
  </si>
  <si>
    <t xml:space="preserve"> 2025-06-23 </t>
  </si>
  <si>
    <t xml:space="preserve"> 2025-06-24 </t>
  </si>
  <si>
    <t xml:space="preserve"> 2025-05-19 </t>
  </si>
  <si>
    <t xml:space="preserve"> 2025-05-20 </t>
  </si>
  <si>
    <t xml:space="preserve"> 2025-05-22 </t>
  </si>
  <si>
    <t xml:space="preserve"> 2025-06-03 </t>
  </si>
  <si>
    <t xml:space="preserve"> 2025-06-25 </t>
  </si>
  <si>
    <t xml:space="preserve"> 2025-05-30 </t>
  </si>
  <si>
    <t xml:space="preserve"> 2025-06-27 </t>
  </si>
  <si>
    <t xml:space="preserve"> 2025-06-05 </t>
  </si>
  <si>
    <t xml:space="preserve"> 2025-07-09 </t>
  </si>
  <si>
    <t xml:space="preserve"> SMCI   </t>
  </si>
  <si>
    <t xml:space="preserve"> 2025-06-13 </t>
  </si>
  <si>
    <t xml:space="preserve"> 2025-07-14 </t>
  </si>
  <si>
    <t xml:space="preserve"> 2025-06-12 </t>
  </si>
  <si>
    <t xml:space="preserve"> 2025-07-15 </t>
  </si>
  <si>
    <t xml:space="preserve"> 2025-06-20 </t>
  </si>
  <si>
    <t xml:space="preserve"> 2025-07-16 </t>
  </si>
  <si>
    <t xml:space="preserve"> 2025-06-18 </t>
  </si>
  <si>
    <t xml:space="preserve"> 2025-07-21 </t>
  </si>
  <si>
    <t xml:space="preserve"> 2025-07-01 </t>
  </si>
  <si>
    <t xml:space="preserve"> 2025-07-28 </t>
  </si>
  <si>
    <t xml:space="preserve"> 2025-08-08 </t>
  </si>
  <si>
    <t xml:space="preserve"> 2025-05-21 </t>
  </si>
  <si>
    <t xml:space="preserve"> 2025-08-11 </t>
  </si>
  <si>
    <t xml:space="preserve"> 2025-08-22 </t>
  </si>
  <si>
    <t xml:space="preserve"> 2025-05-14 </t>
  </si>
  <si>
    <t xml:space="preserve"> 2025-05-28 </t>
  </si>
  <si>
    <t xml:space="preserve"> 2025-08-25 </t>
  </si>
  <si>
    <t xml:space="preserve"> 2025-08-27 </t>
  </si>
  <si>
    <t xml:space="preserve"> 2025-09-10 </t>
  </si>
  <si>
    <t xml:space="preserve"> 2025-07-07 </t>
  </si>
  <si>
    <t xml:space="preserve"> 2025-09-11 </t>
  </si>
  <si>
    <t xml:space="preserve"> 2025-07-08 </t>
  </si>
  <si>
    <t xml:space="preserve"> 2025-09-15 </t>
  </si>
  <si>
    <t xml:space="preserve"> 2025-07-10 </t>
  </si>
  <si>
    <t xml:space="preserve"> 2025-10-06 </t>
  </si>
  <si>
    <t xml:space="preserve"> 2025-08-26 </t>
  </si>
  <si>
    <t xml:space="preserve"> 2025-10-09 </t>
  </si>
  <si>
    <t xml:space="preserve"> 2025-10-27 </t>
  </si>
  <si>
    <t xml:space="preserve"> 2025-07-31 </t>
  </si>
  <si>
    <t xml:space="preserve"> 2025-08-13 </t>
  </si>
  <si>
    <t xml:space="preserve"> 2025-10-31 </t>
  </si>
  <si>
    <t xml:space="preserve">  Last day liquidation      </t>
  </si>
  <si>
    <t xml:space="preserve"> 2025-08-14 </t>
  </si>
  <si>
    <t xml:space="preserve"> 2025-08-15 </t>
  </si>
  <si>
    <t xml:space="preserve"> 2025-08-18 </t>
  </si>
  <si>
    <t xml:space="preserve"> 2025-08-20 </t>
  </si>
  <si>
    <t xml:space="preserve"> 2025-08-28 </t>
  </si>
  <si>
    <t xml:space="preserve"> 2025-08-29 </t>
  </si>
  <si>
    <t xml:space="preserve"> 2025-09-08 </t>
  </si>
  <si>
    <t xml:space="preserve"> 2025-09-16 </t>
  </si>
  <si>
    <t xml:space="preserve"> 2025-09-17 </t>
  </si>
  <si>
    <t xml:space="preserve"> 2025-09-22 </t>
  </si>
  <si>
    <t xml:space="preserve"> 2025-09-24 </t>
  </si>
  <si>
    <t xml:space="preserve"> 2025-09-29 </t>
  </si>
  <si>
    <t xml:space="preserve"> 2025-09-30 </t>
  </si>
  <si>
    <t xml:space="preserve"> 2025-10-07 </t>
  </si>
  <si>
    <t xml:space="preserve"> 2025-10-08 </t>
  </si>
  <si>
    <t xml:space="preserve"> 2025-10-10 </t>
  </si>
  <si>
    <t xml:space="preserve"> 2025-10-13 </t>
  </si>
  <si>
    <t xml:space="preserve"> 2025-10-20 </t>
  </si>
  <si>
    <t xml:space="preserve"> 2025-10-21 </t>
  </si>
  <si>
    <t xml:space="preserve"> 2025-10-22 </t>
  </si>
  <si>
    <t xml:space="preserve"> 2025-10-23 </t>
  </si>
  <si>
    <t xml:space="preserve"> 2025-10-24 </t>
  </si>
  <si>
    <t xml:space="preserve"> 2025-10-28 </t>
  </si>
  <si>
    <t xml:space="preserve"> 2025-10-29 </t>
  </si>
  <si>
    <t>AmtIn-AmtOut</t>
  </si>
  <si>
    <t>NetGain</t>
  </si>
  <si>
    <t>AmtIn - Fees</t>
  </si>
  <si>
    <t>Error/Qty</t>
  </si>
  <si>
    <t>AmtOut + Fees</t>
  </si>
  <si>
    <t>ErrorGain</t>
  </si>
  <si>
    <t xml:space="preserve">       00:13:01 </t>
  </si>
  <si>
    <t xml:space="preserve">       00:14:18 </t>
  </si>
  <si>
    <t xml:space="preserve">             43 </t>
  </si>
  <si>
    <t xml:space="preserve">            530 </t>
  </si>
  <si>
    <t xml:space="preserve">       00:13:28 </t>
  </si>
  <si>
    <t xml:space="preserve"> **FINAL REALIZED CASH VALUE:** $7,273,918.93</t>
  </si>
  <si>
    <t>✅ **TOTAL LIQUIDATION P&amp;L:** $764,004.34</t>
  </si>
  <si>
    <t>💵 **TOTAL NET PROFIT (Start to Finish):** $6,273,918.93</t>
  </si>
  <si>
    <t xml:space="preserve"> Metric                  </t>
  </si>
  <si>
    <t xml:space="preserve">  Account Gain [%] </t>
  </si>
  <si>
    <t xml:space="preserve"> SPY Benchmark  </t>
  </si>
  <si>
    <t xml:space="preserve"> Comparison       </t>
  </si>
  <si>
    <t xml:space="preserve"> **Total Net Gain (%)**  </t>
  </si>
  <si>
    <t xml:space="preserve"> **    498.96pp** </t>
  </si>
  <si>
    <t xml:space="preserve"> **     25.33pp** </t>
  </si>
  <si>
    <t xml:space="preserve"> Exit Reason                          </t>
  </si>
  <si>
    <t xml:space="preserve"> Exit Events  </t>
  </si>
  <si>
    <t xml:space="preserve">  % of Total </t>
  </si>
  <si>
    <t xml:space="preserve"> Total Gain $      </t>
  </si>
  <si>
    <t xml:space="preserve"> Expiration (OTM/Max Profit)          </t>
  </si>
  <si>
    <t xml:space="preserve"> Last day liquidation                 </t>
  </si>
  <si>
    <t xml:space="preserve"> StopLoss: Stock Below SMA150         </t>
  </si>
  <si>
    <t xml:space="preserve"> TakeProfit Min gain reached          </t>
  </si>
  <si>
    <t xml:space="preserve"> **Total Exit Trades Closed**         </t>
  </si>
  <si>
    <t xml:space="preserve"> Total Entry Events            </t>
  </si>
  <si>
    <t xml:space="preserve">                N/A </t>
  </si>
  <si>
    <t xml:space="preserve">               N/A </t>
  </si>
  <si>
    <t>--- DETAILED CLOSED TRADE LOG (Full History) ---</t>
  </si>
  <si>
    <t xml:space="preserve"> 2020-07-06 </t>
  </si>
  <si>
    <t xml:space="preserve"> 2020-07-07 </t>
  </si>
  <si>
    <t xml:space="preserve"> 2020-07-16 </t>
  </si>
  <si>
    <t xml:space="preserve"> 2020-07-21 </t>
  </si>
  <si>
    <t xml:space="preserve"> 2020-07-31 </t>
  </si>
  <si>
    <t xml:space="preserve"> 2020-08-14 </t>
  </si>
  <si>
    <t xml:space="preserve"> 2020-08-25 </t>
  </si>
  <si>
    <t xml:space="preserve"> 2020-09-15 </t>
  </si>
  <si>
    <t xml:space="preserve"> 2020-09-21 </t>
  </si>
  <si>
    <t xml:space="preserve"> 2020-09-22 </t>
  </si>
  <si>
    <t xml:space="preserve"> 2020-09-28 </t>
  </si>
  <si>
    <t xml:space="preserve"> 2020-09-30 </t>
  </si>
  <si>
    <t xml:space="preserve"> 2020-10-01 </t>
  </si>
  <si>
    <t xml:space="preserve"> 2020-10-07 </t>
  </si>
  <si>
    <t xml:space="preserve"> 2020-10-08 </t>
  </si>
  <si>
    <t xml:space="preserve"> 2020-10-12 </t>
  </si>
  <si>
    <t xml:space="preserve"> 2020-10-16 </t>
  </si>
  <si>
    <t xml:space="preserve"> 2020-12-22 </t>
  </si>
  <si>
    <t xml:space="preserve"> 2020-12-23 </t>
  </si>
  <si>
    <t xml:space="preserve"> 2020-12-31 </t>
  </si>
  <si>
    <t xml:space="preserve"> 2021-02-08 </t>
  </si>
  <si>
    <t xml:space="preserve"> 2021-02-09 </t>
  </si>
  <si>
    <t xml:space="preserve"> 2021-02-11 </t>
  </si>
  <si>
    <t xml:space="preserve"> 2021-02-19 </t>
  </si>
  <si>
    <t xml:space="preserve"> 2021-03-01 </t>
  </si>
  <si>
    <t xml:space="preserve"> 2021-03-10 </t>
  </si>
  <si>
    <t xml:space="preserve"> 2021-04-06 </t>
  </si>
  <si>
    <t xml:space="preserve"> 2021-04-07 </t>
  </si>
  <si>
    <t xml:space="preserve"> 2021-04-08 </t>
  </si>
  <si>
    <t xml:space="preserve"> 2021-05-03 </t>
  </si>
  <si>
    <t xml:space="preserve"> 2021-05-10 </t>
  </si>
  <si>
    <t xml:space="preserve"> 2021-10-26 </t>
  </si>
  <si>
    <t xml:space="preserve"> 2021-10-27 </t>
  </si>
  <si>
    <t xml:space="preserve"> 2021-11-16 </t>
  </si>
  <si>
    <t xml:space="preserve"> 2021-12-16 </t>
  </si>
  <si>
    <t xml:space="preserve"> 2022-01-20 </t>
  </si>
  <si>
    <t xml:space="preserve"> 2021-11-12 </t>
  </si>
  <si>
    <t xml:space="preserve"> 2022-07-15 </t>
  </si>
  <si>
    <t xml:space="preserve"> 2022-08-26 </t>
  </si>
  <si>
    <t xml:space="preserve"> 2022-09-12 </t>
  </si>
  <si>
    <t xml:space="preserve"> 2022-10-21 </t>
  </si>
  <si>
    <t xml:space="preserve"> 2022-10-28 </t>
  </si>
  <si>
    <t xml:space="preserve"> 2022-11-01 </t>
  </si>
  <si>
    <t xml:space="preserve"> 2023-01-09 </t>
  </si>
  <si>
    <t xml:space="preserve"> 2023-01-25 </t>
  </si>
  <si>
    <t xml:space="preserve"> 2023-01-26 </t>
  </si>
  <si>
    <t xml:space="preserve"> 2023-01-27 </t>
  </si>
  <si>
    <t xml:space="preserve"> 2023-02-07 </t>
  </si>
  <si>
    <t xml:space="preserve"> 2023-02-14 </t>
  </si>
  <si>
    <t xml:space="preserve"> 2023-03-28 </t>
  </si>
  <si>
    <t xml:space="preserve"> 2023-03-29 </t>
  </si>
  <si>
    <t xml:space="preserve"> 2023-03-31 </t>
  </si>
  <si>
    <t xml:space="preserve"> 2023-04-03 </t>
  </si>
  <si>
    <t xml:space="preserve"> 2023-04-11 </t>
  </si>
  <si>
    <t xml:space="preserve"> 2023-05-15 </t>
  </si>
  <si>
    <t xml:space="preserve"> 2023-06-02 </t>
  </si>
  <si>
    <t xml:space="preserve"> 2023-06-13 </t>
  </si>
  <si>
    <t xml:space="preserve"> 2023-07-05 </t>
  </si>
  <si>
    <t xml:space="preserve"> 2023-07-11 </t>
  </si>
  <si>
    <t xml:space="preserve"> 2023-07-27 </t>
  </si>
  <si>
    <t xml:space="preserve"> 2023-09-14 </t>
  </si>
  <si>
    <t xml:space="preserve"> 2023-09-22 </t>
  </si>
  <si>
    <t xml:space="preserve"> 2023-10-18 </t>
  </si>
  <si>
    <t xml:space="preserve"> 2023-10-19 </t>
  </si>
  <si>
    <t xml:space="preserve"> 2024-01-18 </t>
  </si>
  <si>
    <t xml:space="preserve"> 2024-01-19 </t>
  </si>
  <si>
    <t xml:space="preserve"> 2024-01-23 </t>
  </si>
  <si>
    <t xml:space="preserve"> 2024-02-12 </t>
  </si>
  <si>
    <t xml:space="preserve"> 2024-10-04 </t>
  </si>
  <si>
    <t xml:space="preserve"> 2024-10-16 </t>
  </si>
  <si>
    <t xml:space="preserve"> 2024-11-08 </t>
  </si>
  <si>
    <t xml:space="preserve"> 2024-12-05 </t>
  </si>
  <si>
    <t xml:space="preserve"> 2024-12-10 </t>
  </si>
  <si>
    <t xml:space="preserve"> 2024-12-11 </t>
  </si>
  <si>
    <t xml:space="preserve"> 2025-02-21 </t>
  </si>
  <si>
    <t xml:space="preserve"> 2025-06-17 </t>
  </si>
  <si>
    <t xml:space="preserve"> 2025-07-17 </t>
  </si>
  <si>
    <t xml:space="preserve"> 2025-07-24 </t>
  </si>
  <si>
    <t xml:space="preserve"> 2025-07-30 </t>
  </si>
  <si>
    <t xml:space="preserve"> 2025-08-04 </t>
  </si>
  <si>
    <t xml:space="preserve"> 2025-08-05 </t>
  </si>
  <si>
    <t xml:space="preserve"> 2025-08-06 </t>
  </si>
  <si>
    <t xml:space="preserve"> 2025-08-07 </t>
  </si>
  <si>
    <t xml:space="preserve"> 2025-09-12 </t>
  </si>
  <si>
    <t xml:space="preserve"> 2025-09-18 </t>
  </si>
  <si>
    <t xml:space="preserve">       00:11:55 </t>
  </si>
  <si>
    <t xml:space="preserve">       00:12:03 </t>
  </si>
  <si>
    <t xml:space="preserve">       00:12:15 </t>
  </si>
  <si>
    <t xml:space="preserve">       00:12:02 </t>
  </si>
  <si>
    <t xml:space="preserve">       00:11:14 </t>
  </si>
  <si>
    <t xml:space="preserve">       00:12:00 </t>
  </si>
  <si>
    <t xml:space="preserve">       00:17:01 </t>
  </si>
  <si>
    <t xml:space="preserve">       00:12:06 </t>
  </si>
  <si>
    <t>💰 **FINAL REALIZED CASH VALUE:** $7,568,651.84</t>
  </si>
  <si>
    <t>✅ **TOTAL LIQUIDATION P&amp;L:** $2,327,024.64</t>
  </si>
  <si>
    <t>💵 **TOTAL NET PROFIT (Start to Finish):** $6,568,651.84</t>
  </si>
  <si>
    <t xml:space="preserve"> **    528.43pp** </t>
  </si>
  <si>
    <t xml:space="preserve"> **     26.29pp** </t>
  </si>
  <si>
    <t xml:space="preserve"> ULTA   </t>
  </si>
  <si>
    <t xml:space="preserve"> 2020-09-18 </t>
  </si>
  <si>
    <t xml:space="preserve"> BIIB   </t>
  </si>
  <si>
    <t xml:space="preserve"> 2020-10-28 </t>
  </si>
  <si>
    <t xml:space="preserve"> 2020-03-27 </t>
  </si>
  <si>
    <t xml:space="preserve"> DD     </t>
  </si>
  <si>
    <t xml:space="preserve"> APTV   </t>
  </si>
  <si>
    <t xml:space="preserve"> 2020-07-01 </t>
  </si>
  <si>
    <t xml:space="preserve"> 2020-07-15 </t>
  </si>
  <si>
    <t xml:space="preserve"> 2020-09-14 </t>
  </si>
  <si>
    <t xml:space="preserve"> 2020-09-25 </t>
  </si>
  <si>
    <t xml:space="preserve"> PH     </t>
  </si>
  <si>
    <t xml:space="preserve"> 2020-06-29 </t>
  </si>
  <si>
    <t xml:space="preserve"> 2020-08-27 </t>
  </si>
  <si>
    <t xml:space="preserve"> 2020-08-28 </t>
  </si>
  <si>
    <t xml:space="preserve"> 2020-09-02 </t>
  </si>
  <si>
    <t xml:space="preserve"> 2020-08-20 </t>
  </si>
  <si>
    <t xml:space="preserve"> 2021-04-16 </t>
  </si>
  <si>
    <t xml:space="preserve"> 2020-08-24 </t>
  </si>
  <si>
    <t xml:space="preserve"> 2020-08-31 </t>
  </si>
  <si>
    <t xml:space="preserve"> 2020-09-01 </t>
  </si>
  <si>
    <t xml:space="preserve"> 2020-09-08 </t>
  </si>
  <si>
    <t xml:space="preserve"> 2020-09-09 </t>
  </si>
  <si>
    <t xml:space="preserve"> MHK    </t>
  </si>
  <si>
    <t xml:space="preserve"> BA     </t>
  </si>
  <si>
    <t xml:space="preserve"> 2021-07-16 </t>
  </si>
  <si>
    <t xml:space="preserve"> 2021-01-21 </t>
  </si>
  <si>
    <t xml:space="preserve"> 2021-09-20 </t>
  </si>
  <si>
    <t xml:space="preserve"> 2021-09-21 </t>
  </si>
  <si>
    <t xml:space="preserve"> 2021-09-28 </t>
  </si>
  <si>
    <t xml:space="preserve"> 2021-10-05 </t>
  </si>
  <si>
    <t xml:space="preserve"> 2021-06-04 </t>
  </si>
  <si>
    <t xml:space="preserve"> 2021-06-07 </t>
  </si>
  <si>
    <t xml:space="preserve"> 2021-06-08 </t>
  </si>
  <si>
    <t xml:space="preserve"> 2021-06-09 </t>
  </si>
  <si>
    <t xml:space="preserve"> 2021-06-14 </t>
  </si>
  <si>
    <t xml:space="preserve"> 2021-07-14 </t>
  </si>
  <si>
    <t xml:space="preserve"> 2021-11-23 </t>
  </si>
  <si>
    <t xml:space="preserve"> 2022-03-09 </t>
  </si>
  <si>
    <t xml:space="preserve"> 2022-03-18 </t>
  </si>
  <si>
    <t xml:space="preserve"> 2022-03-21 </t>
  </si>
  <si>
    <t xml:space="preserve"> 2022-03-22 </t>
  </si>
  <si>
    <t xml:space="preserve"> 2022-04-04 </t>
  </si>
  <si>
    <t xml:space="preserve"> 2022-04-14 </t>
  </si>
  <si>
    <t xml:space="preserve"> 2022-05-26 </t>
  </si>
  <si>
    <t xml:space="preserve"> MPWR   </t>
  </si>
  <si>
    <t xml:space="preserve"> 2022-07-20 </t>
  </si>
  <si>
    <t xml:space="preserve"> 2022-09-23 </t>
  </si>
  <si>
    <t xml:space="preserve"> 2022-07-22 </t>
  </si>
  <si>
    <t xml:space="preserve"> 2022-07-25 </t>
  </si>
  <si>
    <t xml:space="preserve"> 2022-07-27 </t>
  </si>
  <si>
    <t xml:space="preserve"> 2022-07-28 </t>
  </si>
  <si>
    <t xml:space="preserve"> SPGI   </t>
  </si>
  <si>
    <t xml:space="preserve"> 2022-08-09 </t>
  </si>
  <si>
    <t xml:space="preserve"> 2022-08-15 </t>
  </si>
  <si>
    <t xml:space="preserve"> 2022-08-16 </t>
  </si>
  <si>
    <t xml:space="preserve"> 2022-08-29 </t>
  </si>
  <si>
    <t xml:space="preserve"> 2022-05-13 </t>
  </si>
  <si>
    <t xml:space="preserve"> 2022-06-07 </t>
  </si>
  <si>
    <t xml:space="preserve"> 2022-06-09 </t>
  </si>
  <si>
    <t xml:space="preserve"> PYPL   </t>
  </si>
  <si>
    <t xml:space="preserve"> 2022-10-05 </t>
  </si>
  <si>
    <t xml:space="preserve"> 2022-12-16 </t>
  </si>
  <si>
    <t xml:space="preserve"> 2022-05-16 </t>
  </si>
  <si>
    <t xml:space="preserve"> 2022-07-21 </t>
  </si>
  <si>
    <t xml:space="preserve"> 2022-05-27 </t>
  </si>
  <si>
    <t xml:space="preserve"> 2022-06-02 </t>
  </si>
  <si>
    <t xml:space="preserve"> 2022-06-03 </t>
  </si>
  <si>
    <t xml:space="preserve"> 2022-08-04 </t>
  </si>
  <si>
    <t xml:space="preserve"> 2022-08-18 </t>
  </si>
  <si>
    <t xml:space="preserve"> 2022-08-23 </t>
  </si>
  <si>
    <t xml:space="preserve"> 2022-08-24 </t>
  </si>
  <si>
    <t xml:space="preserve"> 2022-08-25 </t>
  </si>
  <si>
    <t xml:space="preserve"> GE     </t>
  </si>
  <si>
    <t xml:space="preserve"> 2022-11-02 </t>
  </si>
  <si>
    <t xml:space="preserve"> 2022-11-04 </t>
  </si>
  <si>
    <t xml:space="preserve"> 2023-03-17 </t>
  </si>
  <si>
    <t xml:space="preserve"> 2022-11-14 </t>
  </si>
  <si>
    <t xml:space="preserve"> 2023-05-03 </t>
  </si>
  <si>
    <t xml:space="preserve"> 2022-09-20 </t>
  </si>
  <si>
    <t xml:space="preserve"> DXCM   </t>
  </si>
  <si>
    <t xml:space="preserve"> 2022-11-03 </t>
  </si>
  <si>
    <t xml:space="preserve"> 2023-07-21 </t>
  </si>
  <si>
    <t xml:space="preserve"> 2023-01-10 </t>
  </si>
  <si>
    <t xml:space="preserve"> 2023-09-15 </t>
  </si>
  <si>
    <t xml:space="preserve"> 2022-12-29 </t>
  </si>
  <si>
    <t xml:space="preserve"> 2023-05-30 </t>
  </si>
  <si>
    <t xml:space="preserve"> 2023-04-26 </t>
  </si>
  <si>
    <t xml:space="preserve"> 2023-10-20 </t>
  </si>
  <si>
    <t xml:space="preserve"> 2023-03-03 </t>
  </si>
  <si>
    <t xml:space="preserve"> 2023-10-23 </t>
  </si>
  <si>
    <t xml:space="preserve"> 2023-09-20 </t>
  </si>
  <si>
    <t xml:space="preserve"> 2023-10-30 </t>
  </si>
  <si>
    <t xml:space="preserve"> 2023-05-04 </t>
  </si>
  <si>
    <t xml:space="preserve"> 2023-11-17 </t>
  </si>
  <si>
    <t xml:space="preserve"> 2023-12-15 </t>
  </si>
  <si>
    <t xml:space="preserve"> 2023-03-16 </t>
  </si>
  <si>
    <t xml:space="preserve"> 2023-12-26 </t>
  </si>
  <si>
    <t xml:space="preserve"> 2024-01-16 </t>
  </si>
  <si>
    <t xml:space="preserve"> 2023-12-27 </t>
  </si>
  <si>
    <t xml:space="preserve"> 2023-12-28 </t>
  </si>
  <si>
    <t xml:space="preserve"> 2023-04-24 </t>
  </si>
  <si>
    <t xml:space="preserve"> 2023-05-23 </t>
  </si>
  <si>
    <t xml:space="preserve"> 2023-05-26 </t>
  </si>
  <si>
    <t xml:space="preserve"> 2024-01-03 </t>
  </si>
  <si>
    <t xml:space="preserve"> 2024-02-13 </t>
  </si>
  <si>
    <t xml:space="preserve"> 2024-01-08 </t>
  </si>
  <si>
    <t xml:space="preserve"> 2024-01-09 </t>
  </si>
  <si>
    <t xml:space="preserve"> 2023-12-05 </t>
  </si>
  <si>
    <t xml:space="preserve"> 2023-12-29 </t>
  </si>
  <si>
    <t xml:space="preserve"> 2024-04-10 </t>
  </si>
  <si>
    <t xml:space="preserve"> 2024-04-11 </t>
  </si>
  <si>
    <t xml:space="preserve"> 2024-06-21 </t>
  </si>
  <si>
    <t xml:space="preserve"> 2024-03-11 </t>
  </si>
  <si>
    <t xml:space="preserve"> 2024-03-12 </t>
  </si>
  <si>
    <t xml:space="preserve"> 2024-03-21 </t>
  </si>
  <si>
    <t xml:space="preserve"> 2024-03-22 </t>
  </si>
  <si>
    <t xml:space="preserve"> 2024-03-27 </t>
  </si>
  <si>
    <t xml:space="preserve"> 2024-03-28 </t>
  </si>
  <si>
    <t xml:space="preserve"> 2024-04-01 </t>
  </si>
  <si>
    <t xml:space="preserve"> 2024-04-02 </t>
  </si>
  <si>
    <t xml:space="preserve"> 2024-03-04 </t>
  </si>
  <si>
    <t xml:space="preserve"> 2024-03-07 </t>
  </si>
  <si>
    <t xml:space="preserve"> 2024-04-17 </t>
  </si>
  <si>
    <t xml:space="preserve"> 2024-04-18 </t>
  </si>
  <si>
    <t xml:space="preserve"> 2024-07-12 </t>
  </si>
  <si>
    <t xml:space="preserve"> 2024-07-26 </t>
  </si>
  <si>
    <t xml:space="preserve"> 2024-08-21 </t>
  </si>
  <si>
    <t xml:space="preserve"> PODD   </t>
  </si>
  <si>
    <t xml:space="preserve"> 2024-04-09 </t>
  </si>
  <si>
    <t xml:space="preserve"> 2024-09-30 </t>
  </si>
  <si>
    <t xml:space="preserve"> 2025-01-08 </t>
  </si>
  <si>
    <t xml:space="preserve"> 2025-01-17 </t>
  </si>
  <si>
    <t xml:space="preserve"> 2025-02-03 </t>
  </si>
  <si>
    <t xml:space="preserve"> 2024-11-13 </t>
  </si>
  <si>
    <t xml:space="preserve"> 2024-06-26 </t>
  </si>
  <si>
    <t xml:space="preserve"> 2024-08-22 </t>
  </si>
  <si>
    <t xml:space="preserve"> 2024-08-29 </t>
  </si>
  <si>
    <t xml:space="preserve"> 2024-10-03 </t>
  </si>
  <si>
    <t xml:space="preserve"> 2025-09-19 </t>
  </si>
  <si>
    <t xml:space="preserve"> 2025-10-17 </t>
  </si>
  <si>
    <t xml:space="preserve"> 2025-04-09 </t>
  </si>
  <si>
    <t xml:space="preserve"> CEG    </t>
  </si>
  <si>
    <t xml:space="preserve"> 2025-06-06 </t>
  </si>
  <si>
    <t xml:space="preserve"> 2025-06-10 </t>
  </si>
  <si>
    <t xml:space="preserve"> ANET   </t>
  </si>
  <si>
    <t xml:space="preserve"> 2025-06-26 </t>
  </si>
  <si>
    <t xml:space="preserve"> 2025-06-30 </t>
  </si>
  <si>
    <t xml:space="preserve"> 2025-07-02 </t>
  </si>
  <si>
    <t xml:space="preserve"> 2025-07-11 </t>
  </si>
  <si>
    <t xml:space="preserve"> 2025-07-18 </t>
  </si>
  <si>
    <t xml:space="preserve"> BLDR   </t>
  </si>
  <si>
    <t xml:space="preserve"> 2025-10-01 </t>
  </si>
  <si>
    <t xml:space="preserve"> 2025-10-03 </t>
  </si>
  <si>
    <t>18.log</t>
  </si>
  <si>
    <t>📈 Max Premium per Trade (today, NAV/100): $9,819.29</t>
  </si>
  <si>
    <t>❌ **ABSOLUTE BEST CONTRACT TODAY:** None found across all tickers (No contract passed filters).</t>
  </si>
  <si>
    <t>💵 **DAILY ACCOUNT VALUE (EOD - NAV):** $981,928.82</t>
  </si>
  <si>
    <t>  &gt; **Cash Balance:** $1,029,153.82</t>
  </si>
  <si>
    <t>🛑 **TOTAL PORTFOLIO LIABILITY (Cost to Close):** $47,225.00 (Computed using Ask Price)</t>
  </si>
  <si>
    <t>  &gt; **PAYC** (Qty 5, Strike $230.00, Exp 11/20/2020): Ask=$46.50, Cost to Close=$23,250.00</t>
  </si>
  <si>
    <t>  &gt; **AMD** (Qty 27, Strike $36.00, Exp 10/16/2020): Ask=$5.05, Cost to Close=$13,635.00</t>
  </si>
  <si>
    <t>  &gt; **AMD** (Qty 22, Strike $35.00, Exp 10/16/2020): Ask=$4.70, Cost to Close=$10,340.00</t>
  </si>
  <si>
    <t>  &gt; **Total accumulated Premium on Open Puts:** +$29,190.00</t>
  </si>
  <si>
    <t>  &gt; **Current Drawdown:** -1.81% (vs peak $1,000,000.00)</t>
  </si>
  <si>
    <t>  &gt; **Net Unrealized P&amp;L:** $-18,035.00</t>
  </si>
  <si>
    <t>💰 **TOTAL NET REALIZED P&amp;L (Cumulative):** $-36.18</t>
  </si>
  <si>
    <t>💰 **TOTAL P&amp;L (Realized + Unrealized):** $-18,071.18</t>
  </si>
  <si>
    <t>💵 **TOTAL ACCOUNT VALUE (EOD - NAV):** $981,928.82</t>
  </si>
  <si>
    <t>-----------------------------------</t>
  </si>
  <si>
    <t>🔥 **EXIT:** StopLoss Stk Below Entry Threshold): PAYC (Strike $230.00, Qty 5). Net Profit: $-21,456.70</t>
  </si>
  <si>
    <t>  | **Cash Balance Before Event:** $1,029,153.82</t>
  </si>
  <si>
    <t>  | - Cash Outflow (Buy to Cover @ Ask/Payout): -$31,353.35</t>
  </si>
  <si>
    <t>  | - Commission: -$3.35</t>
  </si>
  <si>
    <t>  | + Premium Collected (Realized Component): +$9,900.00</t>
  </si>
  <si>
    <t>  | **Final Cash Balance After Event:** $997,800.47 (Net Change: $-21,456.70)</t>
  </si>
  <si>
    <t>📈 Max Premium per Trade (today, NAV/100): $9,631.30</t>
  </si>
  <si>
    <t>💵 **DAILY ACCOUNT VALUE (EOD - NAV):** $963,130.47</t>
  </si>
  <si>
    <t>  &gt; **Cash Balance:** $997,800.47</t>
  </si>
  <si>
    <t>🛑 **TOTAL PORTFOLIO LIABILITY (Cost to Close):** $34,670.00 (Computed using Ask Price)</t>
  </si>
  <si>
    <t>  &gt; **AMD** (Qty 27, Strike $36.00, Exp 10/16/2020): Ask=$7.30, Cost to Close=$19,710.00</t>
  </si>
  <si>
    <t>  &gt; **AMD** (Qty 22, Strike $35.00, Exp 10/16/2020): Ask=$6.80, Cost to Close=$14,960.00</t>
  </si>
  <si>
    <t>  &gt; **Total accumulated Premium on Open Puts:** +$19,290.00</t>
  </si>
  <si>
    <t>  &gt; **Current Drawdown:** -3.69% (vs peak $1,000,000.00)</t>
  </si>
  <si>
    <t>  &gt; **Net Unrealized P&amp;L:** $-15,380.00</t>
  </si>
  <si>
    <t>💸 **DAILY NET REALIZED P&amp;L:** $-21,456.70</t>
  </si>
  <si>
    <t>💰 **TOTAL NET REALIZED P&amp;L (Cumulative):** $-42,949.58</t>
  </si>
  <si>
    <t>💰 **TOTAL P&amp;L (Realized + Unrealized):** $-58,329.58</t>
  </si>
  <si>
    <t>💵 **TOTAL ACCOUNT VALUE (EOD - NAV):** $963,130.47</t>
  </si>
  <si>
    <t>  &gt; **Net Unrealized P&amp;L:** $25,271.00</t>
  </si>
  <si>
    <t>💰 **TOTAL NET REALIZED P&amp;L (Cumulative):** $-272.02</t>
  </si>
  <si>
    <t>💰 **TOTAL P&amp;L (Realized + Unrealized):** $24,998.98</t>
  </si>
  <si>
    <t>💵 **TOTAL ACCOUNT VALUE (EOD - NAV):** $1,024,998.98</t>
  </si>
  <si>
    <t>  &gt; **Net Unrealized P&amp;L:** $61,265.00</t>
  </si>
  <si>
    <t>💸 **DAILY NET REALIZED P&amp;L:** $-38,028.23  Exit on 2024-07-01</t>
  </si>
  <si>
    <t>💰 **TOTAL NET REALIZED P&amp;L (Cumulative):** $-38,300.25  OK</t>
  </si>
  <si>
    <t>💰 **TOTAL P&amp;L (Realized + Unrealized):** $22,964.75</t>
  </si>
  <si>
    <t>💵 **TOTAL ACCOUNT VALUE (EOD - NAV):** $1,023,019.69</t>
  </si>
  <si>
    <t>📈 Max Premium per Trade (today, NAV/100): $10,248.06</t>
  </si>
  <si>
    <t>💵 **DAILY ACCOUNT VALUE (EOD - NAV):** $1,024,806.00</t>
  </si>
  <si>
    <t>  &gt; **Cash Balance:** $1,179,295.00</t>
  </si>
  <si>
    <t>  &gt; **TQQQ** (Qty 21, Strike $46.00, Exp 1/17/2025): Ask=$1.45, Cost to Close=$3,045.00</t>
  </si>
  <si>
    <t>  &gt; **TQQQ** (Qty 23, Strike $45.00, Exp 1/17/2025): Ask=$0.74, Cost to Close=$1,702.00</t>
  </si>
  <si>
    <t>  &gt; **TQQQ** (Qty 26, Strike $44.00, Exp 1/17/2025): Ask=$0.74, Cost to Close=$1,924.00</t>
  </si>
  <si>
    <t>  &gt; **TQQQ** (Qty 24, Strike $48.00, Exp 1/17/2025): Ask=$0.61, Cost to Close=$1,464.00</t>
  </si>
  <si>
    <t>  &gt; **TQQQ** (Qty 26, Strike $47.00, Exp 1/17/2025): Ask=$1.78, Cost to Close=$4,628.00</t>
  </si>
  <si>
    <t>  &gt; **TSLA** (Qty 6, Strike $165.00, Exp 3/21/2025): Ask=$1.82, Cost to Close=$1,092.00</t>
  </si>
  <si>
    <t>  &gt; **TSLA** (Qty 7, Strike $160.00, Exp 3/21/2025): Ask=$1.60, Cost to Close=$1,120.00</t>
  </si>
  <si>
    <t>  &gt; **TSLA** (Qty 5, Strike $180.00, Exp 3/21/2025): Ask=$2.66, Cost to Close=$1,330.00</t>
  </si>
  <si>
    <t>  &gt; **TQQQ** (Qty 16, Strike $55.00, Exp 3/21/2025): Ask=$2.26, Cost to Close=$3,616.00</t>
  </si>
  <si>
    <t>  &gt; **TQQQ** (Qty 14, Strike $50.00, Exp 3/21/2025): Ask=$1.68, Cost to Close=$2,352.00</t>
  </si>
  <si>
    <t>  &gt; **VST** (Qty 15, Strike $57.50, Exp 4/17/2025): Ask=$1.40, Cost to Close=$2,100.00</t>
  </si>
  <si>
    <t>  &gt; **VST** (Qty 14, Strike $55.00, Exp 4/17/2025): Ask=$1.35, Cost to Close=$1,890.00</t>
  </si>
  <si>
    <t>  &gt; **VST** (Qty 14, Strike $60.00, Exp 4/17/2025): Ask=$1.55, Cost to Close=$2,170.00</t>
  </si>
  <si>
    <t>  &gt; **FSLR** (Qty 4, Strike $175.00, Exp 3/21/2025): Ask=$12.15, Cost to Close=$4,860.00</t>
  </si>
  <si>
    <t>  &gt; **NVDA** (Qty 10, Strike $86.00, Exp 3/21/2025): Ask=$1.10, Cost to Close=$1,100.00</t>
  </si>
  <si>
    <t>  &gt; **NVDA** (Qty 11, Strike $85.00, Exp 3/21/2025): Ask=$1.05, Cost to Close=$1,155.00</t>
  </si>
  <si>
    <t>  &gt; **VST** (Qty 16, Strike $62.50, Exp 4/17/2025): Ask=$1.75, Cost to Close=$2,800.00</t>
  </si>
  <si>
    <t>  &gt; **TQQQ** (Qty 14, Strike $51.00, Exp 3/21/2025): Ask=$2.50, Cost to Close=$3,500.00</t>
  </si>
  <si>
    <t>  &gt; **TSLA** (Qty 5, Strike $170.00, Exp 3/21/2025): Ask=$2.05, Cost to Close=$1,025.00</t>
  </si>
  <si>
    <t>  &gt; **TSLA** (Qty 6, Strike $175.00, Exp 3/21/2025): Ask=$2.34, Cost to Close=$1,404.00</t>
  </si>
  <si>
    <t>  &gt; **TSLA** (Qty 5, Strike $175.00, Exp 4/17/2025): Ask=$3.15, Cost to Close=$1,575.00</t>
  </si>
  <si>
    <t>  &gt; **TSLA** (Qty 5, Strike $170.00, Exp 4/17/2025): Ask=$2.78, Cost to Close=$1,390.00</t>
  </si>
  <si>
    <t>  &gt; **NVDA** (Qty 11, Strike $90.00, Exp 4/17/2025): Ask=$1.67, Cost to Close=$1,837.00</t>
  </si>
  <si>
    <t>  &gt; **VST** (Qty 16, Strike $67.50, Exp 4/17/2025): Ask=$0.95, Cost to Close=$1,520.00</t>
  </si>
  <si>
    <t>  &gt; **NVDA** (Qty 11, Strike $96.00, Exp 6/20/2025): Ask=$3.50, Cost to Close=$3,850.00</t>
  </si>
  <si>
    <t>  &gt; **NVDA** (Qty 11, Strike $95.00, Exp 6/20/2025): Ask=$3.35, Cost to Close=$3,685.00</t>
  </si>
  <si>
    <t>  &gt; **NVDA** (Qty 12, Strike $97.00, Exp 6/20/2025): Ask=$3.65, Cost to Close=$4,380.00</t>
  </si>
  <si>
    <t>  &gt; **FSLR** (Qty 6, Strike $190.00, Exp 6/20/2025): Ask=$24.05, Cost to Close=$14,430.00</t>
  </si>
  <si>
    <t>  &gt; **NVDA** (Qty 11, Strike $98.00, Exp 6/20/2025): Ask=$3.80, Cost to Close=$4,180.00</t>
  </si>
  <si>
    <t>  &gt; **ON** (Qty 19, Strike $60.00, Exp 6/20/2025): Ask=$4.05, Cost to Close=$7,695.00</t>
  </si>
  <si>
    <t>  &gt; **FSLR** (Qty 5, Strike $195.00, Exp 6/20/2025): Ask=$26.55, Cost to Close=$13,275.00</t>
  </si>
  <si>
    <t>  &gt; **FSLR** (Qty 6, Strike $185.00, Exp 6/20/2025): Ask=$21.75, Cost to Close=$13,050.00</t>
  </si>
  <si>
    <t>  &gt; **NVDA** (Qty 11, Strike $99.00, Exp 6/20/2025): Ask=$3.95, Cost to Close=$4,345.00</t>
  </si>
  <si>
    <t>  &gt; **AMD** (Qty 8, Strike $145.00, Exp 6/20/2025): Ask=$15.40, Cost to Close=$12,320.00</t>
  </si>
  <si>
    <t>  &gt; **FSLR** (Qty 6, Strike $180.00, Exp 6/20/2025): Ask=$19.45, Cost to Close=$11,670.00</t>
  </si>
  <si>
    <t>  &gt; **TSLA** (Qty 6, Strike $185.00, Exp 6/20/2025): Ask=$6.60, Cost to Close=$3,960.00</t>
  </si>
  <si>
    <t>  &gt; **DELL** (Qty 10, Strike $110.00, Exp 6/20/2025): Ask=$7.05, Cost to Close=$7,050.00</t>
  </si>
  <si>
    <t>  &gt; **Total accumulated Premium on Open Puts:** +$335,815.00</t>
  </si>
  <si>
    <t>  &gt; **Current Drawdown:** -5.54% (vs peak $1,084,858.00)</t>
  </si>
  <si>
    <t>  &gt; **Net Unrealized P&amp;L:** $181,326.00</t>
  </si>
  <si>
    <t>💰 **TOTAL NET REALIZED P&amp;L (Cumulative):** $-156,520.00</t>
  </si>
  <si>
    <t>💰 **TOTAL P&amp;L (Realized + Unrealized):** $24,806.00</t>
  </si>
  <si>
    <t>🧾 **INITIAL_CASH + TOTAL P&amp;L (Cash Basis):** $1,024,806.00</t>
  </si>
  <si>
    <t>✅ Total is the same as cash+gain</t>
  </si>
  <si>
    <t>📈 Max Premium per Trade (today, NAV/100): $10,359.45</t>
  </si>
  <si>
    <t>💵 **DAILY ACCOUNT VALUE (EOD - NAV):** $1,035,945.00</t>
  </si>
  <si>
    <t>  &gt; **TQQQ** (Qty 21, Strike $46.00, Exp 1/17/2025): Ask=$0.63, Cost to Close=$1,323.00</t>
  </si>
  <si>
    <t>  &gt; **TQQQ** (Qty 23, Strike $45.00, Exp 1/17/2025): Ask=$0.54, Cost to Close=$1,242.00</t>
  </si>
  <si>
    <t>  &gt; **TQQQ** (Qty 26, Strike $44.00, Exp 1/17/2025): Ask=$0.43, Cost to Close=$1,118.00</t>
  </si>
  <si>
    <t>  &gt; **TQQQ** (Qty 24, Strike $48.00, Exp 1/17/2025): Ask=$0.81, Cost to Close=$1,944.00</t>
  </si>
  <si>
    <t>  &gt; **TQQQ** (Qty 26, Strike $47.00, Exp 1/17/2025): Ask=$0.55, Cost to Close=$1,430.00</t>
  </si>
  <si>
    <t>  &gt; **TSLA** (Qty 6, Strike $165.00, Exp 3/21/2025): Ask=$1.55, Cost to Close=$930.00</t>
  </si>
  <si>
    <t>  &gt; **TSLA** (Qty 7, Strike $160.00, Exp 3/21/2025): Ask=$1.38, Cost to Close=$966.00</t>
  </si>
  <si>
    <t>  &gt; **TSLA** (Qty 5, Strike $180.00, Exp 3/21/2025): Ask=$2.18, Cost to Close=$1,090.00</t>
  </si>
  <si>
    <t>  &gt; **TQQQ** (Qty 16, Strike $55.00, Exp 3/21/2025): Ask=$2.84, Cost to Close=$4,544.00</t>
  </si>
  <si>
    <t>  &gt; **TQQQ** (Qty 14, Strike $50.00, Exp 3/21/2025): Ask=$1.65, Cost to Close=$2,310.00</t>
  </si>
  <si>
    <t>  &gt; **VST** (Qty 14, Strike $60.00, Exp 4/17/2025): Ask=$1.70, Cost to Close=$2,380.00</t>
  </si>
  <si>
    <t>  &gt; **FSLR** (Qty 4, Strike $175.00, Exp 3/21/2025): Ask=$12.75, Cost to Close=$5,100.00</t>
  </si>
  <si>
    <t>  &gt; **NVDA** (Qty 10, Strike $86.00, Exp 3/21/2025): Ask=$1.12, Cost to Close=$1,120.00</t>
  </si>
  <si>
    <t>  &gt; **NVDA** (Qty 11, Strike $85.00, Exp 3/21/2025): Ask=$1.07, Cost to Close=$1,177.00</t>
  </si>
  <si>
    <t>  &gt; **TQQQ** (Qty 14, Strike $51.00, Exp 3/21/2025): Ask=$1.83, Cost to Close=$2,562.00</t>
  </si>
  <si>
    <t>  &gt; **TSLA** (Qty 5, Strike $170.00, Exp 3/21/2025): Ask=$1.72, Cost to Close=$860.00</t>
  </si>
  <si>
    <t>  &gt; **TSLA** (Qty 6, Strike $175.00, Exp 3/21/2025): Ask=$1.94, Cost to Close=$1,164.00</t>
  </si>
  <si>
    <t>  &gt; **TSLA** (Qty 5, Strike $175.00, Exp 4/17/2025): Ask=$2.59, Cost to Close=$1,295.00</t>
  </si>
  <si>
    <t>  &gt; **TSLA** (Qty 5, Strike $170.00, Exp 4/17/2025): Ask=$2.33, Cost to Close=$1,165.00</t>
  </si>
  <si>
    <t>  &gt; **NVDA** (Qty 11, Strike $90.00, Exp 4/17/2025): Ask=$1.70, Cost to Close=$1,870.00</t>
  </si>
  <si>
    <t>  &gt; **NVDA** (Qty 12, Strike $97.00, Exp 6/20/2025): Ask=$3.70, Cost to Close=$4,440.00</t>
  </si>
  <si>
    <t>  &gt; **FSLR** (Qty 6, Strike $190.00, Exp 6/20/2025): Ask=$25.25, Cost to Close=$15,150.00</t>
  </si>
  <si>
    <t>  &gt; **NVDA** (Qty 11, Strike $98.00, Exp 6/20/2025): Ask=$3.85, Cost to Close=$4,235.00</t>
  </si>
  <si>
    <t>  &gt; **ON** (Qty 19, Strike $60.00, Exp 6/20/2025): Ask=$4.45, Cost to Close=$8,455.00</t>
  </si>
  <si>
    <t>  &gt; **FSLR** (Qty 5, Strike $195.00, Exp 6/20/2025): Ask=$27.85, Cost to Close=$13,925.00</t>
  </si>
  <si>
    <t>  &gt; **FSLR** (Qty 6, Strike $185.00, Exp 6/20/2025): Ask=$22.60, Cost to Close=$13,560.00</t>
  </si>
  <si>
    <t>  &gt; **NVDA** (Qty 11, Strike $99.00, Exp 6/20/2025): Ask=$4.00, Cost to Close=$4,400.00</t>
  </si>
  <si>
    <t>  &gt; **AMD** (Qty 8, Strike $145.00, Exp 6/20/2025): Ask=$15.95, Cost to Close=$12,760.00</t>
  </si>
  <si>
    <t>  &gt; **FSLR** (Qty 6, Strike $180.00, Exp 6/20/2025): Ask=$20.50, Cost to Close=$12,300.00</t>
  </si>
  <si>
    <t>  &gt; **TSLA** (Qty 6, Strike $185.00, Exp 6/20/2025): Ask=$5.50, Cost to Close=$3,300.00</t>
  </si>
  <si>
    <t>  &gt; **DELL** (Qty 10, Strike $110.00, Exp 6/20/2025): Ask=$7.70, Cost to Close=$7,700.00</t>
  </si>
  <si>
    <t>  &gt; **Total accumulated Premium on Open Puts:** +$301,935.00</t>
  </si>
  <si>
    <t>  &gt; **Current Drawdown:** -4.51% (vs peak $1,084,858.00)</t>
  </si>
  <si>
    <t>  &gt; **Net Unrealized P&amp;L:** $158,585.00</t>
  </si>
  <si>
    <t>💰 **TOTAL P&amp;L (Realized + Unrealized):** $2,065.00</t>
  </si>
  <si>
    <t>🧾 **INITIAL_CASH + TOTAL P&amp;L (Cash Basis):** $1,002,065.00</t>
  </si>
  <si>
    <t>❌ Total is not the same as cash+gain</t>
  </si>
  <si>
    <t>  | cash_plus_total_pnl: $1,002,065.00</t>
  </si>
  <si>
    <t>  | total_account_value: $1,035,945.00</t>
  </si>
  <si>
    <t>🛑 **TOTAL PORTFOLIO LIABILITY (Cost to Close):** $143,350.00</t>
  </si>
  <si>
    <t>🛑 **TOTAL PORTFOLIO LIABILITY (Cost to Close):** $154,489.00</t>
  </si>
  <si>
    <t>Total cost to close =</t>
  </si>
  <si>
    <t>Change today:</t>
  </si>
  <si>
    <t>Total Premium on open positions=</t>
  </si>
  <si>
    <t>total cost to close VST</t>
  </si>
  <si>
    <t>The totals are not the same. Value &gt; Realized by:</t>
  </si>
  <si>
    <t xml:space="preserve">  </t>
  </si>
  <si>
    <t>**OPEN PORTFOLIO SUMMARY (37 Total Positions):**</t>
  </si>
  <si>
    <t>💼 **OPEN PORTFOLIO SUMMARY (37 Total Positions):**</t>
  </si>
  <si>
    <t>  &gt; AMD: 1 | DELL: 1 | FSLR: 5 | NVDA: 8 | ON: 1 | TQQQ: 8 | TSLA: 8 | VST: 5  </t>
  </si>
  <si>
    <t>🛑 **TOTAL PORTFOLIO LIABILITY (Cost to Close):** $154,489.00 (Computed using Ask Price)</t>
  </si>
  <si>
    <t>💰 **Cash Balance:** $1,179,295.00</t>
  </si>
  <si>
    <t>  &gt; AMD: 1 | DELL: 1 | FSLR: 5 | NVDA: 8 | ON: 1 | TQQQ: 8 | TSLA: 8 | VST: 5</t>
  </si>
  <si>
    <t>🛑 **TOTAL PORTFOLIO LIABILITY (Cost to Close):** $143,350.00 (Computed using Ask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</si>
</sst>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00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22" fontId="0" fillId="2" borderId="1" xfId="0" applyNumberForma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2" xfId="0" applyFill="1" applyBorder="1" applyAlignment="1">
      <alignment horizontal="left"/>
    </xf>
    <xf numFmtId="44" fontId="0" fillId="0" borderId="0" xfId="1" applyFont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9" fontId="0" fillId="0" borderId="0" xfId="2" applyFont="1" applyBorder="1" applyAlignment="1">
      <alignment horizontal="left"/>
    </xf>
    <xf numFmtId="9" fontId="0" fillId="0" borderId="7" xfId="2" applyFont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0" fillId="0" borderId="0" xfId="1" applyFont="1" applyBorder="1" applyAlignment="1">
      <alignment horizontal="left"/>
    </xf>
    <xf numFmtId="9" fontId="0" fillId="0" borderId="8" xfId="2" applyFont="1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9" fontId="0" fillId="0" borderId="5" xfId="2" applyFont="1" applyBorder="1" applyAlignment="1">
      <alignment horizontal="left"/>
    </xf>
    <xf numFmtId="9" fontId="0" fillId="0" borderId="6" xfId="2" applyFont="1" applyBorder="1" applyAlignment="1">
      <alignment horizontal="center" vertical="center"/>
    </xf>
    <xf numFmtId="14" fontId="0" fillId="0" borderId="0" xfId="2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8" fontId="0" fillId="0" borderId="0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8" fontId="0" fillId="0" borderId="7" xfId="0" applyNumberFormat="1" applyBorder="1" applyAlignment="1">
      <alignment horizontal="left"/>
    </xf>
    <xf numFmtId="14" fontId="3" fillId="3" borderId="0" xfId="2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/>
    </xf>
    <xf numFmtId="1" fontId="0" fillId="0" borderId="0" xfId="2" applyNumberFormat="1" applyFont="1" applyBorder="1" applyAlignment="1">
      <alignment horizontal="center" vertical="center"/>
    </xf>
    <xf numFmtId="1" fontId="3" fillId="3" borderId="0" xfId="2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 wrapText="1"/>
    </xf>
    <xf numFmtId="1" fontId="0" fillId="0" borderId="0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10" fontId="0" fillId="0" borderId="0" xfId="2" applyNumberFormat="1" applyFont="1" applyBorder="1" applyAlignment="1">
      <alignment horizontal="center" vertical="center"/>
    </xf>
    <xf numFmtId="10" fontId="0" fillId="0" borderId="0" xfId="0" applyNumberFormat="1" applyBorder="1" applyAlignment="1">
      <alignment horizontal="left"/>
    </xf>
    <xf numFmtId="1" fontId="0" fillId="0" borderId="3" xfId="0" applyNumberFormat="1" applyBorder="1" applyAlignment="1">
      <alignment horizontal="right"/>
    </xf>
    <xf numFmtId="1" fontId="0" fillId="0" borderId="0" xfId="0" applyNumberFormat="1" applyAlignment="1">
      <alignment horizontal="left"/>
    </xf>
    <xf numFmtId="1" fontId="3" fillId="3" borderId="0" xfId="0" applyNumberFormat="1" applyFont="1" applyFill="1" applyBorder="1" applyAlignment="1">
      <alignment horizontal="left"/>
    </xf>
    <xf numFmtId="1" fontId="0" fillId="0" borderId="7" xfId="0" applyNumberFormat="1" applyBorder="1" applyAlignment="1">
      <alignment horizontal="left"/>
    </xf>
    <xf numFmtId="164" fontId="0" fillId="0" borderId="3" xfId="0" applyNumberFormat="1" applyBorder="1" applyAlignment="1">
      <alignment horizontal="right"/>
    </xf>
    <xf numFmtId="164" fontId="0" fillId="0" borderId="0" xfId="2" applyNumberFormat="1" applyFont="1" applyBorder="1" applyAlignment="1">
      <alignment horizontal="center" vertical="center"/>
    </xf>
    <xf numFmtId="164" fontId="0" fillId="0" borderId="0" xfId="0" applyNumberFormat="1" applyBorder="1" applyAlignment="1">
      <alignment horizontal="left"/>
    </xf>
    <xf numFmtId="164" fontId="0" fillId="0" borderId="7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" fontId="3" fillId="3" borderId="8" xfId="2" applyNumberFormat="1" applyFont="1" applyFill="1" applyBorder="1" applyAlignment="1">
      <alignment horizontal="center" vertical="center"/>
    </xf>
    <xf numFmtId="1" fontId="0" fillId="0" borderId="8" xfId="2" applyNumberFormat="1" applyFont="1" applyBorder="1" applyAlignment="1">
      <alignment horizontal="center" vertical="center"/>
    </xf>
    <xf numFmtId="164" fontId="3" fillId="3" borderId="0" xfId="2" applyNumberFormat="1" applyFon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right" vertical="center"/>
    </xf>
    <xf numFmtId="165" fontId="0" fillId="0" borderId="0" xfId="0" applyNumberFormat="1" applyAlignment="1">
      <alignment horizontal="center"/>
    </xf>
    <xf numFmtId="166" fontId="0" fillId="0" borderId="8" xfId="2" applyNumberFormat="1" applyFont="1" applyBorder="1" applyAlignment="1">
      <alignment horizontal="center" vertical="center"/>
    </xf>
    <xf numFmtId="10" fontId="0" fillId="0" borderId="8" xfId="2" applyNumberFormat="1" applyFont="1" applyBorder="1" applyAlignment="1">
      <alignment horizontal="center" vertical="center"/>
    </xf>
    <xf numFmtId="9" fontId="0" fillId="0" borderId="0" xfId="2" applyFont="1" applyAlignment="1">
      <alignment horizontal="left"/>
    </xf>
    <xf numFmtId="10" fontId="0" fillId="0" borderId="4" xfId="2" applyNumberFormat="1" applyFont="1" applyBorder="1" applyAlignment="1">
      <alignment horizontal="right"/>
    </xf>
    <xf numFmtId="10" fontId="0" fillId="0" borderId="0" xfId="2" applyNumberFormat="1" applyFont="1" applyAlignment="1">
      <alignment horizontal="left"/>
    </xf>
    <xf numFmtId="10" fontId="2" fillId="0" borderId="0" xfId="2" applyNumberFormat="1" applyFont="1" applyBorder="1" applyAlignment="1">
      <alignment horizontal="center" vertical="center"/>
    </xf>
    <xf numFmtId="44" fontId="2" fillId="0" borderId="0" xfId="1" applyFont="1" applyBorder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1" fontId="2" fillId="0" borderId="0" xfId="2" applyNumberFormat="1" applyFont="1" applyBorder="1" applyAlignment="1">
      <alignment horizontal="center" vertical="center"/>
    </xf>
    <xf numFmtId="10" fontId="2" fillId="0" borderId="8" xfId="2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44" fontId="4" fillId="0" borderId="0" xfId="1" applyFont="1" applyBorder="1" applyAlignment="1">
      <alignment horizontal="center" vertical="center"/>
    </xf>
    <xf numFmtId="1" fontId="4" fillId="0" borderId="0" xfId="2" applyNumberFormat="1" applyFont="1" applyFill="1" applyBorder="1" applyAlignment="1">
      <alignment horizontal="center" vertical="center"/>
    </xf>
    <xf numFmtId="1" fontId="4" fillId="0" borderId="8" xfId="2" applyNumberFormat="1" applyFont="1" applyFill="1" applyBorder="1" applyAlignment="1">
      <alignment horizontal="center" vertical="center"/>
    </xf>
    <xf numFmtId="10" fontId="1" fillId="0" borderId="0" xfId="2" applyNumberFormat="1" applyFont="1" applyBorder="1" applyAlignment="1">
      <alignment horizontal="center" vertical="center"/>
    </xf>
    <xf numFmtId="44" fontId="1" fillId="0" borderId="0" xfId="1" applyFont="1" applyBorder="1" applyAlignment="1">
      <alignment horizontal="center" vertical="center"/>
    </xf>
    <xf numFmtId="9" fontId="1" fillId="0" borderId="0" xfId="2" applyFont="1" applyBorder="1" applyAlignment="1">
      <alignment horizontal="center" vertical="center"/>
    </xf>
    <xf numFmtId="1" fontId="1" fillId="0" borderId="0" xfId="2" applyNumberFormat="1" applyFont="1" applyBorder="1" applyAlignment="1">
      <alignment horizontal="center" vertical="center"/>
    </xf>
    <xf numFmtId="10" fontId="1" fillId="0" borderId="8" xfId="2" applyNumberFormat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/>
    </xf>
    <xf numFmtId="9" fontId="3" fillId="3" borderId="0" xfId="2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right"/>
    </xf>
    <xf numFmtId="166" fontId="0" fillId="0" borderId="0" xfId="2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166" fontId="0" fillId="0" borderId="7" xfId="2" applyNumberFormat="1" applyFont="1" applyBorder="1" applyAlignment="1">
      <alignment horizontal="center" vertical="center"/>
    </xf>
    <xf numFmtId="166" fontId="3" fillId="3" borderId="0" xfId="2" applyNumberFormat="1" applyFont="1" applyFill="1" applyBorder="1" applyAlignment="1">
      <alignment horizontal="center" vertical="center"/>
    </xf>
    <xf numFmtId="8" fontId="0" fillId="0" borderId="0" xfId="0" applyNumberFormat="1"/>
    <xf numFmtId="10" fontId="0" fillId="0" borderId="0" xfId="0" applyNumberFormat="1"/>
    <xf numFmtId="4" fontId="0" fillId="0" borderId="0" xfId="0" applyNumberFormat="1"/>
    <xf numFmtId="44" fontId="0" fillId="0" borderId="0" xfId="1" applyFont="1"/>
    <xf numFmtId="166" fontId="0" fillId="0" borderId="0" xfId="2" applyNumberFormat="1" applyFont="1"/>
    <xf numFmtId="10" fontId="0" fillId="0" borderId="0" xfId="2" applyNumberFormat="1" applyFont="1"/>
    <xf numFmtId="39" fontId="0" fillId="0" borderId="0" xfId="1" applyNumberFormat="1" applyFont="1"/>
    <xf numFmtId="44" fontId="0" fillId="0" borderId="0" xfId="0" applyNumberFormat="1"/>
    <xf numFmtId="39" fontId="0" fillId="0" borderId="0" xfId="0" applyNumberFormat="1"/>
    <xf numFmtId="8" fontId="0" fillId="0" borderId="5" xfId="0" applyNumberFormat="1" applyBorder="1"/>
    <xf numFmtId="40" fontId="0" fillId="0" borderId="0" xfId="0" applyNumberFormat="1"/>
    <xf numFmtId="0" fontId="0" fillId="0" borderId="10" xfId="0" applyBorder="1"/>
    <xf numFmtId="0" fontId="0" fillId="0" borderId="11" xfId="0" applyBorder="1"/>
    <xf numFmtId="8" fontId="0" fillId="0" borderId="11" xfId="0" applyNumberFormat="1" applyBorder="1"/>
    <xf numFmtId="10" fontId="0" fillId="0" borderId="11" xfId="0" applyNumberFormat="1" applyBorder="1"/>
    <xf numFmtId="8" fontId="0" fillId="0" borderId="12" xfId="0" applyNumberFormat="1" applyBorder="1"/>
    <xf numFmtId="0" fontId="0" fillId="0" borderId="13" xfId="0" applyBorder="1"/>
    <xf numFmtId="0" fontId="0" fillId="0" borderId="0" xfId="0" applyBorder="1"/>
    <xf numFmtId="8" fontId="0" fillId="0" borderId="0" xfId="0" applyNumberFormat="1" applyBorder="1"/>
    <xf numFmtId="10" fontId="0" fillId="0" borderId="0" xfId="0" applyNumberFormat="1" applyBorder="1"/>
    <xf numFmtId="8" fontId="0" fillId="0" borderId="14" xfId="0" applyNumberFormat="1" applyBorder="1"/>
    <xf numFmtId="0" fontId="0" fillId="0" borderId="15" xfId="0" applyBorder="1"/>
    <xf numFmtId="0" fontId="0" fillId="0" borderId="16" xfId="0" applyBorder="1"/>
    <xf numFmtId="8" fontId="0" fillId="0" borderId="16" xfId="0" applyNumberFormat="1" applyBorder="1"/>
    <xf numFmtId="10" fontId="0" fillId="0" borderId="16" xfId="0" applyNumberFormat="1" applyBorder="1"/>
    <xf numFmtId="8" fontId="0" fillId="0" borderId="17" xfId="0" applyNumberFormat="1" applyBorder="1"/>
    <xf numFmtId="166" fontId="0" fillId="0" borderId="4" xfId="0" applyNumberFormat="1" applyBorder="1" applyAlignment="1">
      <alignment horizontal="right"/>
    </xf>
    <xf numFmtId="166" fontId="0" fillId="0" borderId="9" xfId="2" applyNumberFormat="1" applyFont="1" applyBorder="1" applyAlignment="1">
      <alignment horizontal="center" vertical="center"/>
    </xf>
    <xf numFmtId="166" fontId="0" fillId="0" borderId="0" xfId="0" applyNumberFormat="1" applyBorder="1" applyAlignment="1">
      <alignment horizontal="left"/>
    </xf>
    <xf numFmtId="0" fontId="0" fillId="0" borderId="5" xfId="0" applyBorder="1"/>
    <xf numFmtId="44" fontId="0" fillId="0" borderId="0" xfId="0" applyNumberFormat="1" applyAlignment="1">
      <alignment horizontal="left"/>
    </xf>
    <xf numFmtId="44" fontId="0" fillId="0" borderId="4" xfId="1" applyFont="1" applyBorder="1" applyAlignment="1">
      <alignment horizontal="right"/>
    </xf>
    <xf numFmtId="44" fontId="0" fillId="0" borderId="8" xfId="1" applyFont="1" applyBorder="1" applyAlignment="1">
      <alignment horizontal="center" vertical="center"/>
    </xf>
    <xf numFmtId="44" fontId="0" fillId="0" borderId="8" xfId="1" applyFont="1" applyBorder="1" applyAlignment="1">
      <alignment horizontal="left"/>
    </xf>
    <xf numFmtId="44" fontId="0" fillId="0" borderId="9" xfId="1" applyFont="1" applyBorder="1" applyAlignment="1">
      <alignment horizontal="left"/>
    </xf>
    <xf numFmtId="8" fontId="0" fillId="0" borderId="5" xfId="1" applyNumberFormat="1" applyFont="1" applyBorder="1"/>
    <xf numFmtId="0" fontId="0" fillId="0" borderId="0" xfId="0" applyAlignment="1">
      <alignment horizontal="right"/>
    </xf>
    <xf numFmtId="10" fontId="0" fillId="0" borderId="12" xfId="0" applyNumberFormat="1" applyBorder="1"/>
    <xf numFmtId="10" fontId="0" fillId="0" borderId="14" xfId="0" applyNumberFormat="1" applyBorder="1"/>
    <xf numFmtId="10" fontId="0" fillId="0" borderId="17" xfId="0" applyNumberFormat="1" applyBorder="1"/>
    <xf numFmtId="14" fontId="0" fillId="0" borderId="0" xfId="0" applyNumberFormat="1"/>
    <xf numFmtId="0" fontId="0" fillId="3" borderId="0" xfId="0" applyFill="1"/>
    <xf numFmtId="0" fontId="3" fillId="3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49DE-A1DD-4985-BF8E-3D36808E5D47}">
  <dimension ref="A1:BA121"/>
  <sheetViews>
    <sheetView zoomScale="80" zoomScaleNormal="80" workbookViewId="0">
      <pane xSplit="1" topLeftCell="B1" activePane="topRight" state="frozen"/>
      <selection activeCell="A2" sqref="A2"/>
      <selection pane="topRight" activeCell="B2" sqref="B2"/>
    </sheetView>
  </sheetViews>
  <sheetFormatPr defaultRowHeight="15" x14ac:dyDescent="0.25"/>
  <cols>
    <col min="1" max="1" width="31.140625" style="1" customWidth="1"/>
    <col min="2" max="53" width="15.28515625" style="1" customWidth="1"/>
    <col min="54" max="16384" width="9.140625" style="1"/>
  </cols>
  <sheetData>
    <row r="1" spans="1:53" x14ac:dyDescent="0.25">
      <c r="A1" s="34" t="s">
        <v>9</v>
      </c>
      <c r="B1" s="4">
        <v>45965</v>
      </c>
      <c r="C1" s="4">
        <v>45965</v>
      </c>
      <c r="D1" s="4">
        <v>45965</v>
      </c>
      <c r="E1" s="4">
        <v>45965</v>
      </c>
      <c r="F1" s="4">
        <v>45965</v>
      </c>
      <c r="G1" s="4">
        <v>45965</v>
      </c>
      <c r="H1" s="4">
        <v>45965</v>
      </c>
      <c r="I1" s="4">
        <v>45964</v>
      </c>
      <c r="J1" s="4">
        <v>45964</v>
      </c>
      <c r="K1" s="4">
        <v>45964</v>
      </c>
      <c r="L1" s="4">
        <v>45964</v>
      </c>
      <c r="M1" s="4">
        <v>45964</v>
      </c>
      <c r="N1" s="4">
        <v>45964</v>
      </c>
      <c r="O1" s="4">
        <v>45964</v>
      </c>
      <c r="P1" s="4">
        <v>45964</v>
      </c>
      <c r="Q1" s="4">
        <v>45964.708333333336</v>
      </c>
      <c r="R1" s="4" t="s">
        <v>223</v>
      </c>
      <c r="S1" s="4" t="s">
        <v>220</v>
      </c>
      <c r="T1" s="4">
        <v>45964.51666666667</v>
      </c>
      <c r="U1" s="4">
        <v>45964.496527777781</v>
      </c>
      <c r="V1" s="4">
        <v>45964.486111111109</v>
      </c>
      <c r="W1" s="4">
        <v>45964.472222222219</v>
      </c>
      <c r="X1" s="4">
        <v>45964.458333333336</v>
      </c>
      <c r="Y1" s="4">
        <v>45964.416666666664</v>
      </c>
      <c r="Z1" s="4">
        <v>45964.375</v>
      </c>
      <c r="AA1" s="4">
        <v>45964.208333333336</v>
      </c>
      <c r="AB1" s="4">
        <v>45964.327777777777</v>
      </c>
      <c r="AC1" s="4">
        <v>45964.306944444441</v>
      </c>
      <c r="AD1" s="4">
        <v>45964.280555555553</v>
      </c>
      <c r="AE1" s="4">
        <v>45964.229166666664</v>
      </c>
      <c r="AF1" s="4">
        <v>45964.229166666664</v>
      </c>
      <c r="AG1" s="4">
        <v>45964.083333333336</v>
      </c>
      <c r="AH1" s="4">
        <v>45964.041666666664</v>
      </c>
      <c r="AI1" s="4">
        <v>45963.997916666667</v>
      </c>
      <c r="AJ1" s="4">
        <v>45963.977083333331</v>
      </c>
      <c r="AK1" s="4">
        <v>45963.952777777777</v>
      </c>
      <c r="AL1" s="4">
        <v>45963.938194444447</v>
      </c>
      <c r="AM1" s="4" t="s">
        <v>118</v>
      </c>
      <c r="AN1" s="4">
        <v>45963.852777777778</v>
      </c>
      <c r="AO1" s="4">
        <v>45963.754861111112</v>
      </c>
      <c r="AP1" s="4">
        <v>45963.810416666667</v>
      </c>
      <c r="AQ1" s="4">
        <v>45963.790972222225</v>
      </c>
      <c r="AR1" s="4">
        <v>45963.667361111111</v>
      </c>
      <c r="AS1" s="4">
        <v>45963.627083333333</v>
      </c>
      <c r="AT1" s="4">
        <v>45963.449305555558</v>
      </c>
      <c r="AU1" s="4">
        <v>45963.074999999997</v>
      </c>
      <c r="AV1" s="4">
        <v>45962.880555555559</v>
      </c>
    </row>
    <row r="2" spans="1:53" s="3" customFormat="1" ht="33" customHeight="1" x14ac:dyDescent="0.25">
      <c r="A2" s="35" t="s">
        <v>10</v>
      </c>
      <c r="B2" s="23" t="s">
        <v>1477</v>
      </c>
      <c r="C2" s="23" t="s">
        <v>125</v>
      </c>
      <c r="D2" s="23" t="s">
        <v>125</v>
      </c>
      <c r="E2" s="23" t="s">
        <v>125</v>
      </c>
      <c r="F2" s="23" t="s">
        <v>125</v>
      </c>
      <c r="G2" s="23" t="s">
        <v>125</v>
      </c>
      <c r="H2" s="23" t="s">
        <v>125</v>
      </c>
      <c r="I2" s="23" t="s">
        <v>125</v>
      </c>
      <c r="J2" s="23" t="s">
        <v>125</v>
      </c>
      <c r="K2" s="23" t="s">
        <v>125</v>
      </c>
      <c r="L2" s="23" t="s">
        <v>125</v>
      </c>
      <c r="M2" s="23" t="s">
        <v>125</v>
      </c>
      <c r="N2" s="23" t="s">
        <v>125</v>
      </c>
      <c r="O2" s="23" t="s">
        <v>125</v>
      </c>
      <c r="P2" s="23" t="s">
        <v>125</v>
      </c>
      <c r="Q2" s="23" t="s">
        <v>227</v>
      </c>
      <c r="R2" s="23" t="s">
        <v>222</v>
      </c>
      <c r="S2" s="23" t="s">
        <v>219</v>
      </c>
      <c r="T2" s="23" t="s">
        <v>217</v>
      </c>
      <c r="U2" s="23" t="s">
        <v>210</v>
      </c>
      <c r="V2" s="23" t="s">
        <v>125</v>
      </c>
      <c r="W2" s="23" t="s">
        <v>208</v>
      </c>
      <c r="X2" s="23" t="s">
        <v>206</v>
      </c>
      <c r="Y2" s="23" t="s">
        <v>173</v>
      </c>
      <c r="Z2" s="23" t="s">
        <v>171</v>
      </c>
      <c r="AA2" s="23" t="s">
        <v>145</v>
      </c>
      <c r="AB2" s="23" t="s">
        <v>167</v>
      </c>
      <c r="AC2" s="23" t="s">
        <v>165</v>
      </c>
      <c r="AD2" s="23" t="s">
        <v>164</v>
      </c>
      <c r="AE2" s="23" t="s">
        <v>148</v>
      </c>
      <c r="AF2" s="23" t="s">
        <v>146</v>
      </c>
      <c r="AG2" s="23" t="s">
        <v>140</v>
      </c>
      <c r="AH2" s="23" t="s">
        <v>128</v>
      </c>
      <c r="AI2" s="23" t="s">
        <v>126</v>
      </c>
      <c r="AJ2" s="23" t="s">
        <v>125</v>
      </c>
      <c r="AK2" s="23" t="s">
        <v>119</v>
      </c>
      <c r="AL2" s="23" t="s">
        <v>4</v>
      </c>
      <c r="AM2" s="23" t="s">
        <v>116</v>
      </c>
      <c r="AN2" s="23" t="s">
        <v>4</v>
      </c>
      <c r="AO2" s="23" t="s">
        <v>8</v>
      </c>
      <c r="AP2" s="23" t="s">
        <v>3</v>
      </c>
      <c r="AQ2" s="23" t="s">
        <v>2</v>
      </c>
      <c r="AR2" s="23" t="s">
        <v>1</v>
      </c>
      <c r="AS2" s="23" t="s">
        <v>0</v>
      </c>
      <c r="AT2" s="23" t="s">
        <v>5</v>
      </c>
      <c r="AU2" s="23" t="s">
        <v>6</v>
      </c>
      <c r="AV2" s="23" t="s">
        <v>7</v>
      </c>
      <c r="AX2" s="1"/>
      <c r="AY2" s="1"/>
      <c r="AZ2" s="1"/>
      <c r="BA2" s="1"/>
    </row>
    <row r="3" spans="1:53" x14ac:dyDescent="0.25">
      <c r="A3" s="5" t="s">
        <v>11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1"/>
    </row>
    <row r="4" spans="1:53" x14ac:dyDescent="0.25">
      <c r="A4" s="6" t="s">
        <v>58</v>
      </c>
      <c r="B4" s="22">
        <v>43831</v>
      </c>
      <c r="C4" s="22">
        <v>43831</v>
      </c>
      <c r="D4" s="22">
        <v>43831</v>
      </c>
      <c r="E4" s="22">
        <v>43831</v>
      </c>
      <c r="F4" s="22">
        <v>43831</v>
      </c>
      <c r="G4" s="22">
        <v>43831</v>
      </c>
      <c r="H4" s="22">
        <v>43831</v>
      </c>
      <c r="I4" s="22">
        <v>43831</v>
      </c>
      <c r="J4" s="22">
        <v>43831</v>
      </c>
      <c r="K4" s="22">
        <v>43831</v>
      </c>
      <c r="L4" s="22">
        <v>43831</v>
      </c>
      <c r="M4" s="22">
        <v>43831</v>
      </c>
      <c r="N4" s="22">
        <v>43831</v>
      </c>
      <c r="O4" s="22">
        <v>43831</v>
      </c>
      <c r="P4" s="22">
        <v>43831</v>
      </c>
      <c r="Q4" s="22">
        <v>43831</v>
      </c>
      <c r="R4" s="22">
        <v>43831</v>
      </c>
      <c r="S4" s="22">
        <v>43831</v>
      </c>
      <c r="T4" s="22">
        <v>43831</v>
      </c>
      <c r="U4" s="22">
        <v>43831</v>
      </c>
      <c r="V4" s="22">
        <v>43831</v>
      </c>
      <c r="W4" s="22">
        <v>43831</v>
      </c>
      <c r="X4" s="22">
        <v>43831</v>
      </c>
      <c r="Y4" s="22">
        <v>43831</v>
      </c>
      <c r="Z4" s="22">
        <v>43831</v>
      </c>
      <c r="AA4" s="22">
        <v>43831</v>
      </c>
      <c r="AB4" s="22">
        <v>43831</v>
      </c>
      <c r="AC4" s="22">
        <v>43831</v>
      </c>
      <c r="AD4" s="22">
        <v>43831</v>
      </c>
      <c r="AE4" s="22">
        <v>43831</v>
      </c>
      <c r="AF4" s="22">
        <v>43831</v>
      </c>
      <c r="AG4" s="22">
        <v>43831</v>
      </c>
      <c r="AH4" s="22">
        <v>43831</v>
      </c>
      <c r="AI4" s="22">
        <v>43831</v>
      </c>
      <c r="AJ4" s="22">
        <v>43831</v>
      </c>
      <c r="AK4" s="22">
        <v>43831</v>
      </c>
      <c r="AL4" s="22">
        <v>43831</v>
      </c>
      <c r="AM4" s="22">
        <v>43831</v>
      </c>
      <c r="AN4" s="22">
        <v>43831</v>
      </c>
      <c r="AO4" s="30">
        <v>39083</v>
      </c>
      <c r="AP4" s="22">
        <v>43831</v>
      </c>
      <c r="AQ4" s="22">
        <v>43831</v>
      </c>
      <c r="AR4" s="22">
        <v>43831</v>
      </c>
      <c r="AS4" s="22">
        <v>43831</v>
      </c>
      <c r="AT4" s="22">
        <v>43831</v>
      </c>
      <c r="AU4" s="22">
        <v>43831</v>
      </c>
      <c r="AV4" s="27" t="s">
        <v>108</v>
      </c>
    </row>
    <row r="5" spans="1:53" x14ac:dyDescent="0.25">
      <c r="A5" s="6" t="s">
        <v>59</v>
      </c>
      <c r="B5" s="15">
        <v>1000000</v>
      </c>
      <c r="C5" s="15">
        <v>1000000</v>
      </c>
      <c r="D5" s="15">
        <v>1000000</v>
      </c>
      <c r="E5" s="15">
        <v>1000000</v>
      </c>
      <c r="F5" s="15">
        <v>1000000</v>
      </c>
      <c r="G5" s="15">
        <v>1000000</v>
      </c>
      <c r="H5" s="15">
        <v>1000000</v>
      </c>
      <c r="I5" s="15">
        <v>1000000</v>
      </c>
      <c r="J5" s="15">
        <v>1000000</v>
      </c>
      <c r="K5" s="15">
        <v>1000000</v>
      </c>
      <c r="L5" s="15">
        <v>1000000</v>
      </c>
      <c r="M5" s="15">
        <v>1000000</v>
      </c>
      <c r="N5" s="15">
        <v>1000000</v>
      </c>
      <c r="O5" s="15">
        <v>1000000</v>
      </c>
      <c r="P5" s="15">
        <v>1000000</v>
      </c>
      <c r="Q5" s="15">
        <v>1000000</v>
      </c>
      <c r="R5" s="15">
        <v>1000000</v>
      </c>
      <c r="S5" s="15">
        <v>1000000</v>
      </c>
      <c r="T5" s="15">
        <v>1000000</v>
      </c>
      <c r="U5" s="15">
        <v>1000000</v>
      </c>
      <c r="V5" s="15">
        <v>1000000</v>
      </c>
      <c r="W5" s="15">
        <v>1000000</v>
      </c>
      <c r="X5" s="15">
        <v>1000000</v>
      </c>
      <c r="Y5" s="15">
        <v>1000000</v>
      </c>
      <c r="Z5" s="15">
        <v>1000000</v>
      </c>
      <c r="AA5" s="15">
        <v>1000000</v>
      </c>
      <c r="AB5" s="68">
        <v>1000000</v>
      </c>
      <c r="AC5" s="68">
        <v>1000000</v>
      </c>
      <c r="AD5" s="15">
        <v>1000000</v>
      </c>
      <c r="AE5" s="15">
        <v>1000000</v>
      </c>
      <c r="AF5" s="15">
        <v>1000000</v>
      </c>
      <c r="AG5" s="15">
        <v>1000000</v>
      </c>
      <c r="AH5" s="15">
        <v>1000000</v>
      </c>
      <c r="AI5" s="15">
        <v>1000000</v>
      </c>
      <c r="AJ5" s="15">
        <v>1000000</v>
      </c>
      <c r="AK5" s="15">
        <v>1000000</v>
      </c>
      <c r="AL5" s="15">
        <v>1000000</v>
      </c>
      <c r="AM5" s="15">
        <v>1000000</v>
      </c>
      <c r="AN5" s="15">
        <v>1000000</v>
      </c>
      <c r="AO5" s="15">
        <v>1000000</v>
      </c>
      <c r="AP5" s="15">
        <v>1000000</v>
      </c>
      <c r="AQ5" s="15">
        <v>1000000</v>
      </c>
      <c r="AR5" s="15">
        <v>1000000</v>
      </c>
      <c r="AS5" s="15">
        <v>1000000</v>
      </c>
      <c r="AT5" s="15">
        <v>1000000</v>
      </c>
      <c r="AU5" s="25">
        <v>100000</v>
      </c>
      <c r="AV5" s="29">
        <v>100000</v>
      </c>
    </row>
    <row r="6" spans="1:53" s="41" customFormat="1" x14ac:dyDescent="0.25">
      <c r="A6" s="40" t="s">
        <v>60</v>
      </c>
      <c r="B6" s="32">
        <v>100</v>
      </c>
      <c r="C6" s="33">
        <v>100</v>
      </c>
      <c r="D6" s="33">
        <v>80</v>
      </c>
      <c r="E6" s="32">
        <v>72</v>
      </c>
      <c r="F6" s="32">
        <v>72</v>
      </c>
      <c r="G6" s="32">
        <v>72</v>
      </c>
      <c r="H6" s="32">
        <v>72</v>
      </c>
      <c r="I6" s="32">
        <v>72</v>
      </c>
      <c r="J6" s="32">
        <v>72</v>
      </c>
      <c r="K6" s="32">
        <v>72</v>
      </c>
      <c r="L6" s="32">
        <v>72</v>
      </c>
      <c r="M6" s="32">
        <v>72</v>
      </c>
      <c r="N6" s="32">
        <v>72</v>
      </c>
      <c r="O6" s="32">
        <v>72</v>
      </c>
      <c r="P6" s="32">
        <v>72</v>
      </c>
      <c r="Q6" s="32">
        <v>72</v>
      </c>
      <c r="R6" s="32">
        <v>72</v>
      </c>
      <c r="S6" s="32">
        <v>72</v>
      </c>
      <c r="T6" s="32">
        <v>72</v>
      </c>
      <c r="U6" s="33">
        <v>72</v>
      </c>
      <c r="V6" s="32">
        <v>75</v>
      </c>
      <c r="W6" s="32">
        <v>75</v>
      </c>
      <c r="X6" s="32">
        <v>75</v>
      </c>
      <c r="Y6" s="33">
        <v>68</v>
      </c>
      <c r="Z6" s="32">
        <v>75</v>
      </c>
      <c r="AA6" s="32">
        <v>75</v>
      </c>
      <c r="AB6" s="69">
        <v>100</v>
      </c>
      <c r="AC6" s="33">
        <v>120</v>
      </c>
      <c r="AD6" s="33">
        <v>100</v>
      </c>
      <c r="AE6" s="32">
        <v>70</v>
      </c>
      <c r="AF6" s="33">
        <v>70</v>
      </c>
      <c r="AG6" s="32">
        <v>75</v>
      </c>
      <c r="AH6" s="32">
        <v>75</v>
      </c>
      <c r="AI6" s="33">
        <v>75</v>
      </c>
      <c r="AJ6" s="32" t="s">
        <v>71</v>
      </c>
      <c r="AK6" s="32" t="s">
        <v>71</v>
      </c>
      <c r="AL6" s="32" t="s">
        <v>71</v>
      </c>
      <c r="AM6" s="32" t="s">
        <v>71</v>
      </c>
      <c r="AN6" s="32" t="s">
        <v>71</v>
      </c>
      <c r="AO6" s="32" t="s">
        <v>19</v>
      </c>
      <c r="AP6" s="36" t="s">
        <v>19</v>
      </c>
      <c r="AQ6" s="36" t="s">
        <v>19</v>
      </c>
      <c r="AR6" s="36" t="s">
        <v>19</v>
      </c>
      <c r="AS6" s="36" t="s">
        <v>19</v>
      </c>
      <c r="AT6" s="42" t="s">
        <v>100</v>
      </c>
      <c r="AU6" s="36" t="s">
        <v>103</v>
      </c>
      <c r="AV6" s="43" t="s">
        <v>103</v>
      </c>
    </row>
    <row r="7" spans="1:53" s="36" customFormat="1" x14ac:dyDescent="0.25">
      <c r="A7" s="40" t="s">
        <v>60</v>
      </c>
      <c r="B7" s="33">
        <v>8</v>
      </c>
      <c r="C7" s="32">
        <v>7</v>
      </c>
      <c r="D7" s="32">
        <v>7</v>
      </c>
      <c r="E7" s="32">
        <v>7</v>
      </c>
      <c r="F7" s="32">
        <v>7</v>
      </c>
      <c r="G7" s="33">
        <v>8</v>
      </c>
      <c r="H7" s="33">
        <v>6</v>
      </c>
      <c r="I7" s="32">
        <v>7</v>
      </c>
      <c r="J7" s="32">
        <v>7</v>
      </c>
      <c r="K7" s="32">
        <v>7</v>
      </c>
      <c r="L7" s="32">
        <v>7</v>
      </c>
      <c r="M7" s="32">
        <v>7</v>
      </c>
      <c r="N7" s="32">
        <v>7</v>
      </c>
      <c r="O7" s="32">
        <v>7</v>
      </c>
      <c r="P7" s="32">
        <v>7</v>
      </c>
      <c r="Q7" s="32">
        <v>7</v>
      </c>
      <c r="R7" s="32">
        <v>7</v>
      </c>
      <c r="S7" s="32">
        <v>7</v>
      </c>
      <c r="T7" s="32">
        <v>7</v>
      </c>
      <c r="U7" s="32">
        <v>7</v>
      </c>
      <c r="V7" s="32">
        <v>7</v>
      </c>
      <c r="W7" s="32">
        <v>7</v>
      </c>
      <c r="X7" s="32">
        <v>7</v>
      </c>
      <c r="Y7" s="33">
        <v>6</v>
      </c>
      <c r="Z7" s="32">
        <v>7</v>
      </c>
      <c r="AA7" s="32">
        <v>7</v>
      </c>
      <c r="AB7" s="69">
        <v>8</v>
      </c>
      <c r="AC7" s="69">
        <v>8</v>
      </c>
      <c r="AD7" s="33">
        <v>8</v>
      </c>
      <c r="AE7" s="32">
        <v>6</v>
      </c>
      <c r="AF7" s="33">
        <v>6</v>
      </c>
      <c r="AG7" s="32">
        <v>7</v>
      </c>
      <c r="AH7" s="32">
        <v>7</v>
      </c>
      <c r="AI7" s="33">
        <v>7</v>
      </c>
      <c r="AJ7" s="32" t="s">
        <v>72</v>
      </c>
      <c r="AK7" s="32" t="s">
        <v>72</v>
      </c>
      <c r="AL7" s="32" t="s">
        <v>72</v>
      </c>
      <c r="AM7" s="32" t="s">
        <v>72</v>
      </c>
      <c r="AN7" s="32" t="s">
        <v>72</v>
      </c>
      <c r="AO7" s="32" t="s">
        <v>20</v>
      </c>
      <c r="AP7" s="36" t="s">
        <v>20</v>
      </c>
      <c r="AQ7" s="36" t="s">
        <v>20</v>
      </c>
      <c r="AR7" s="36" t="s">
        <v>20</v>
      </c>
      <c r="AS7" s="36" t="s">
        <v>20</v>
      </c>
      <c r="AT7" s="42" t="s">
        <v>101</v>
      </c>
      <c r="AU7" s="36" t="s">
        <v>104</v>
      </c>
      <c r="AV7" s="43" t="s">
        <v>104</v>
      </c>
    </row>
    <row r="8" spans="1:53" s="54" customFormat="1" x14ac:dyDescent="0.25">
      <c r="A8" s="55" t="s">
        <v>153</v>
      </c>
      <c r="B8" s="50">
        <v>1</v>
      </c>
      <c r="C8" s="50">
        <v>1</v>
      </c>
      <c r="D8" s="50">
        <v>1</v>
      </c>
      <c r="E8" s="50">
        <v>1</v>
      </c>
      <c r="F8" s="50">
        <v>1</v>
      </c>
      <c r="G8" s="50">
        <v>1</v>
      </c>
      <c r="H8" s="50">
        <v>1</v>
      </c>
      <c r="I8" s="50">
        <v>1</v>
      </c>
      <c r="J8" s="50">
        <v>1</v>
      </c>
      <c r="K8" s="50">
        <v>1</v>
      </c>
      <c r="L8" s="50">
        <v>1</v>
      </c>
      <c r="M8" s="50">
        <v>1</v>
      </c>
      <c r="N8" s="50">
        <v>1</v>
      </c>
      <c r="O8" s="50">
        <v>1</v>
      </c>
      <c r="P8" s="50">
        <v>1</v>
      </c>
      <c r="Q8" s="50">
        <v>1</v>
      </c>
      <c r="R8" s="50">
        <v>1</v>
      </c>
      <c r="S8" s="50">
        <v>1</v>
      </c>
      <c r="T8" s="50">
        <v>1</v>
      </c>
      <c r="U8" s="50">
        <v>1</v>
      </c>
      <c r="V8" s="50">
        <v>1</v>
      </c>
      <c r="W8" s="50">
        <v>1</v>
      </c>
      <c r="X8" s="50">
        <v>1</v>
      </c>
      <c r="Y8" s="50">
        <v>1</v>
      </c>
      <c r="Z8" s="50">
        <v>1</v>
      </c>
      <c r="AA8" s="50">
        <v>1</v>
      </c>
      <c r="AB8" s="70">
        <v>2</v>
      </c>
      <c r="AC8" s="70">
        <v>2</v>
      </c>
      <c r="AD8" s="50">
        <v>2</v>
      </c>
      <c r="AE8" s="49">
        <v>3</v>
      </c>
      <c r="AF8" s="50">
        <v>1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M8" s="50">
        <v>1</v>
      </c>
      <c r="AN8" s="50">
        <v>1</v>
      </c>
      <c r="AO8" s="50">
        <v>1</v>
      </c>
      <c r="AP8" s="52">
        <v>1</v>
      </c>
      <c r="AQ8" s="52">
        <v>1</v>
      </c>
      <c r="AR8" s="52">
        <v>1</v>
      </c>
      <c r="AS8" s="52">
        <v>1</v>
      </c>
      <c r="AT8" s="52">
        <v>1</v>
      </c>
      <c r="AU8" s="52">
        <v>1</v>
      </c>
      <c r="AV8" s="53">
        <v>1</v>
      </c>
    </row>
    <row r="9" spans="1:53" x14ac:dyDescent="0.25">
      <c r="A9" s="8" t="s">
        <v>12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20"/>
      <c r="AQ9" s="20"/>
      <c r="AR9" s="20"/>
      <c r="AS9" s="20"/>
      <c r="AT9" s="19"/>
      <c r="AU9" s="19"/>
      <c r="AV9" s="21"/>
      <c r="AZ9" s="37"/>
    </row>
    <row r="10" spans="1:53" x14ac:dyDescent="0.25">
      <c r="A10" s="6" t="s">
        <v>52</v>
      </c>
      <c r="B10" s="12" t="s">
        <v>73</v>
      </c>
      <c r="C10" s="12" t="s">
        <v>73</v>
      </c>
      <c r="D10" s="12" t="s">
        <v>73</v>
      </c>
      <c r="E10" s="12" t="s">
        <v>73</v>
      </c>
      <c r="F10" s="12" t="s">
        <v>73</v>
      </c>
      <c r="G10" s="12" t="s">
        <v>73</v>
      </c>
      <c r="H10" s="12" t="s">
        <v>73</v>
      </c>
      <c r="I10" s="12" t="s">
        <v>73</v>
      </c>
      <c r="J10" s="12" t="s">
        <v>73</v>
      </c>
      <c r="K10" s="12" t="s">
        <v>73</v>
      </c>
      <c r="L10" s="12" t="s">
        <v>73</v>
      </c>
      <c r="M10" s="12" t="s">
        <v>73</v>
      </c>
      <c r="N10" s="12" t="s">
        <v>73</v>
      </c>
      <c r="O10" s="12" t="s">
        <v>73</v>
      </c>
      <c r="P10" s="12" t="s">
        <v>73</v>
      </c>
      <c r="Q10" s="12" t="s">
        <v>73</v>
      </c>
      <c r="R10" s="77">
        <v>0</v>
      </c>
      <c r="S10" s="77">
        <v>0.05</v>
      </c>
      <c r="T10" s="77">
        <v>-0.1</v>
      </c>
      <c r="U10" s="12" t="s">
        <v>73</v>
      </c>
      <c r="V10" s="12" t="s">
        <v>73</v>
      </c>
      <c r="W10" s="12" t="s">
        <v>73</v>
      </c>
      <c r="X10" s="12" t="s">
        <v>73</v>
      </c>
      <c r="Y10" s="12" t="s">
        <v>73</v>
      </c>
      <c r="Z10" s="12" t="s">
        <v>73</v>
      </c>
      <c r="AA10" s="12" t="s">
        <v>73</v>
      </c>
      <c r="AB10" s="12" t="s">
        <v>73</v>
      </c>
      <c r="AC10" s="12" t="s">
        <v>73</v>
      </c>
      <c r="AD10" s="12" t="s">
        <v>73</v>
      </c>
      <c r="AE10" s="12" t="s">
        <v>73</v>
      </c>
      <c r="AF10" s="12" t="s">
        <v>73</v>
      </c>
      <c r="AG10" s="12" t="s">
        <v>73</v>
      </c>
      <c r="AH10" s="12" t="s">
        <v>73</v>
      </c>
      <c r="AI10" s="12" t="s">
        <v>73</v>
      </c>
      <c r="AJ10" s="12" t="s">
        <v>73</v>
      </c>
      <c r="AK10" s="12" t="s">
        <v>73</v>
      </c>
      <c r="AL10" s="12" t="s">
        <v>73</v>
      </c>
      <c r="AM10" s="12" t="s">
        <v>73</v>
      </c>
      <c r="AN10" s="12" t="s">
        <v>73</v>
      </c>
      <c r="AO10" s="12" t="s">
        <v>22</v>
      </c>
      <c r="AP10" s="1" t="s">
        <v>22</v>
      </c>
      <c r="AQ10" s="1" t="s">
        <v>22</v>
      </c>
      <c r="AR10" s="1" t="s">
        <v>22</v>
      </c>
      <c r="AS10" s="1" t="s">
        <v>22</v>
      </c>
      <c r="AT10" s="12" t="s">
        <v>22</v>
      </c>
      <c r="AU10" s="12" t="s">
        <v>22</v>
      </c>
      <c r="AV10" s="14" t="s">
        <v>22</v>
      </c>
      <c r="AZ10" s="2"/>
    </row>
    <row r="11" spans="1:53" s="80" customFormat="1" x14ac:dyDescent="0.25">
      <c r="A11" s="78" t="s">
        <v>109</v>
      </c>
      <c r="B11" s="79" t="s">
        <v>74</v>
      </c>
      <c r="C11" s="79" t="s">
        <v>74</v>
      </c>
      <c r="D11" s="79" t="s">
        <v>74</v>
      </c>
      <c r="E11" s="79" t="s">
        <v>74</v>
      </c>
      <c r="F11" s="79" t="s">
        <v>74</v>
      </c>
      <c r="G11" s="79" t="s">
        <v>74</v>
      </c>
      <c r="H11" s="79" t="s">
        <v>74</v>
      </c>
      <c r="I11" s="79" t="s">
        <v>74</v>
      </c>
      <c r="J11" s="79" t="s">
        <v>74</v>
      </c>
      <c r="K11" s="79" t="s">
        <v>74</v>
      </c>
      <c r="L11" s="79" t="s">
        <v>74</v>
      </c>
      <c r="M11" s="79" t="s">
        <v>74</v>
      </c>
      <c r="N11" s="79" t="s">
        <v>74</v>
      </c>
      <c r="O11" s="79" t="s">
        <v>74</v>
      </c>
      <c r="P11" s="79" t="s">
        <v>74</v>
      </c>
      <c r="Q11" s="82">
        <v>0.01</v>
      </c>
      <c r="R11" s="79" t="s">
        <v>74</v>
      </c>
      <c r="S11" s="79" t="s">
        <v>74</v>
      </c>
      <c r="T11" s="79" t="s">
        <v>74</v>
      </c>
      <c r="U11" s="79" t="s">
        <v>74</v>
      </c>
      <c r="V11" s="79" t="s">
        <v>74</v>
      </c>
      <c r="W11" s="79" t="s">
        <v>74</v>
      </c>
      <c r="X11" s="79" t="s">
        <v>74</v>
      </c>
      <c r="Y11" s="79" t="s">
        <v>74</v>
      </c>
      <c r="Z11" s="79" t="s">
        <v>74</v>
      </c>
      <c r="AA11" s="79" t="s">
        <v>74</v>
      </c>
      <c r="AB11" s="79" t="s">
        <v>74</v>
      </c>
      <c r="AC11" s="79" t="s">
        <v>74</v>
      </c>
      <c r="AD11" s="79" t="s">
        <v>74</v>
      </c>
      <c r="AE11" s="79" t="s">
        <v>74</v>
      </c>
      <c r="AF11" s="79" t="s">
        <v>74</v>
      </c>
      <c r="AG11" s="79" t="s">
        <v>74</v>
      </c>
      <c r="AH11" s="79" t="s">
        <v>74</v>
      </c>
      <c r="AI11" s="79" t="s">
        <v>74</v>
      </c>
      <c r="AJ11" s="79" t="s">
        <v>74</v>
      </c>
      <c r="AK11" s="79" t="s">
        <v>74</v>
      </c>
      <c r="AL11" s="79" t="s">
        <v>74</v>
      </c>
      <c r="AM11" s="79" t="s">
        <v>74</v>
      </c>
      <c r="AN11" s="79" t="s">
        <v>74</v>
      </c>
      <c r="AO11" s="79" t="s">
        <v>23</v>
      </c>
      <c r="AP11" s="80" t="s">
        <v>23</v>
      </c>
      <c r="AQ11" s="80" t="s">
        <v>23</v>
      </c>
      <c r="AR11" s="80" t="s">
        <v>23</v>
      </c>
      <c r="AS11" s="80" t="s">
        <v>23</v>
      </c>
      <c r="AT11" s="79" t="s">
        <v>23</v>
      </c>
      <c r="AU11" s="79" t="s">
        <v>23</v>
      </c>
      <c r="AV11" s="81" t="s">
        <v>23</v>
      </c>
    </row>
    <row r="12" spans="1:53" x14ac:dyDescent="0.25">
      <c r="A12" s="6" t="s">
        <v>110</v>
      </c>
      <c r="B12" s="12" t="s">
        <v>75</v>
      </c>
      <c r="C12" s="12" t="s">
        <v>75</v>
      </c>
      <c r="D12" s="12" t="s">
        <v>75</v>
      </c>
      <c r="E12" s="12" t="s">
        <v>75</v>
      </c>
      <c r="F12" s="12" t="s">
        <v>75</v>
      </c>
      <c r="G12" s="12" t="s">
        <v>75</v>
      </c>
      <c r="H12" s="12" t="s">
        <v>75</v>
      </c>
      <c r="I12" s="12" t="s">
        <v>75</v>
      </c>
      <c r="J12" s="12" t="s">
        <v>75</v>
      </c>
      <c r="K12" s="12" t="s">
        <v>75</v>
      </c>
      <c r="L12" s="12" t="s">
        <v>75</v>
      </c>
      <c r="M12" s="12" t="s">
        <v>75</v>
      </c>
      <c r="N12" s="12" t="s">
        <v>75</v>
      </c>
      <c r="O12" s="12" t="s">
        <v>75</v>
      </c>
      <c r="P12" s="12" t="s">
        <v>75</v>
      </c>
      <c r="Q12" s="12" t="s">
        <v>75</v>
      </c>
      <c r="R12" s="12" t="s">
        <v>75</v>
      </c>
      <c r="S12" s="12" t="s">
        <v>75</v>
      </c>
      <c r="T12" s="12" t="s">
        <v>75</v>
      </c>
      <c r="U12" s="12" t="s">
        <v>75</v>
      </c>
      <c r="V12" s="77">
        <v>0.6</v>
      </c>
      <c r="W12" s="77">
        <v>0.5</v>
      </c>
      <c r="X12" s="77">
        <v>0.3</v>
      </c>
      <c r="Y12" s="12" t="s">
        <v>75</v>
      </c>
      <c r="Z12" s="12" t="s">
        <v>75</v>
      </c>
      <c r="AA12" s="12" t="s">
        <v>75</v>
      </c>
      <c r="AB12" s="12" t="s">
        <v>75</v>
      </c>
      <c r="AC12" s="12" t="s">
        <v>75</v>
      </c>
      <c r="AD12" s="12" t="s">
        <v>75</v>
      </c>
      <c r="AE12" s="12" t="s">
        <v>75</v>
      </c>
      <c r="AF12" s="12" t="s">
        <v>75</v>
      </c>
      <c r="AG12" s="12" t="s">
        <v>75</v>
      </c>
      <c r="AH12" s="12" t="s">
        <v>75</v>
      </c>
      <c r="AI12" s="12" t="s">
        <v>75</v>
      </c>
      <c r="AJ12" s="12" t="s">
        <v>75</v>
      </c>
      <c r="AK12" s="12" t="s">
        <v>75</v>
      </c>
      <c r="AL12" s="12" t="s">
        <v>75</v>
      </c>
      <c r="AM12" s="12" t="s">
        <v>75</v>
      </c>
      <c r="AN12" s="12" t="s">
        <v>75</v>
      </c>
      <c r="AO12" s="12" t="s">
        <v>24</v>
      </c>
      <c r="AP12" s="1" t="s">
        <v>24</v>
      </c>
      <c r="AQ12" s="1" t="s">
        <v>24</v>
      </c>
      <c r="AR12" s="1" t="s">
        <v>24</v>
      </c>
      <c r="AS12" s="1" t="s">
        <v>24</v>
      </c>
      <c r="AT12" s="12" t="s">
        <v>24</v>
      </c>
      <c r="AU12" s="12" t="s">
        <v>24</v>
      </c>
      <c r="AV12" s="14" t="s">
        <v>24</v>
      </c>
    </row>
    <row r="13" spans="1:53" x14ac:dyDescent="0.25">
      <c r="A13" s="6" t="s">
        <v>111</v>
      </c>
      <c r="B13" s="12">
        <v>-0.02</v>
      </c>
      <c r="C13" s="12">
        <v>-0.02</v>
      </c>
      <c r="D13" s="12">
        <v>-0.02</v>
      </c>
      <c r="E13" s="77">
        <v>-0.02</v>
      </c>
      <c r="F13" s="77">
        <v>0.02</v>
      </c>
      <c r="G13" s="12" t="s">
        <v>76</v>
      </c>
      <c r="H13" s="12" t="s">
        <v>76</v>
      </c>
      <c r="I13" s="12" t="s">
        <v>76</v>
      </c>
      <c r="J13" s="12" t="s">
        <v>76</v>
      </c>
      <c r="K13" s="12" t="s">
        <v>76</v>
      </c>
      <c r="L13" s="12" t="s">
        <v>76</v>
      </c>
      <c r="M13" s="12" t="s">
        <v>76</v>
      </c>
      <c r="N13" s="12" t="s">
        <v>76</v>
      </c>
      <c r="O13" s="12" t="s">
        <v>76</v>
      </c>
      <c r="P13" s="12" t="s">
        <v>76</v>
      </c>
      <c r="Q13" s="12" t="s">
        <v>76</v>
      </c>
      <c r="R13" s="12" t="s">
        <v>76</v>
      </c>
      <c r="S13" s="12" t="s">
        <v>76</v>
      </c>
      <c r="T13" s="12" t="s">
        <v>76</v>
      </c>
      <c r="U13" s="12" t="s">
        <v>76</v>
      </c>
      <c r="V13" s="12" t="s">
        <v>76</v>
      </c>
      <c r="W13" s="12" t="s">
        <v>76</v>
      </c>
      <c r="X13" s="12" t="s">
        <v>76</v>
      </c>
      <c r="Y13" s="12" t="s">
        <v>76</v>
      </c>
      <c r="Z13" s="12" t="s">
        <v>76</v>
      </c>
      <c r="AA13" s="12" t="s">
        <v>76</v>
      </c>
      <c r="AB13" s="12" t="s">
        <v>76</v>
      </c>
      <c r="AC13" s="12" t="s">
        <v>76</v>
      </c>
      <c r="AD13" s="12" t="s">
        <v>76</v>
      </c>
      <c r="AE13" s="12" t="s">
        <v>76</v>
      </c>
      <c r="AF13" s="12" t="s">
        <v>76</v>
      </c>
      <c r="AG13" s="12" t="s">
        <v>76</v>
      </c>
      <c r="AH13" s="12" t="s">
        <v>76</v>
      </c>
      <c r="AI13" s="12" t="s">
        <v>76</v>
      </c>
      <c r="AJ13" s="12" t="s">
        <v>76</v>
      </c>
      <c r="AK13" s="12" t="s">
        <v>76</v>
      </c>
      <c r="AL13" s="12" t="s">
        <v>76</v>
      </c>
      <c r="AM13" s="12" t="s">
        <v>76</v>
      </c>
      <c r="AN13" s="12" t="s">
        <v>76</v>
      </c>
      <c r="AO13" s="12" t="s">
        <v>25</v>
      </c>
      <c r="AP13" s="1" t="s">
        <v>25</v>
      </c>
      <c r="AQ13" s="1" t="s">
        <v>25</v>
      </c>
      <c r="AR13" s="1" t="s">
        <v>25</v>
      </c>
      <c r="AS13" s="1" t="s">
        <v>25</v>
      </c>
      <c r="AT13" s="12" t="s">
        <v>25</v>
      </c>
      <c r="AU13" s="12" t="s">
        <v>25</v>
      </c>
      <c r="AV13" s="14" t="s">
        <v>25</v>
      </c>
    </row>
    <row r="14" spans="1:53" x14ac:dyDescent="0.25">
      <c r="A14" s="7" t="s">
        <v>53</v>
      </c>
      <c r="B14" s="17" t="s">
        <v>77</v>
      </c>
      <c r="C14" s="17" t="s">
        <v>77</v>
      </c>
      <c r="D14" s="17" t="s">
        <v>77</v>
      </c>
      <c r="E14" s="17" t="s">
        <v>77</v>
      </c>
      <c r="F14" s="17" t="s">
        <v>77</v>
      </c>
      <c r="G14" s="17" t="s">
        <v>77</v>
      </c>
      <c r="H14" s="17" t="s">
        <v>77</v>
      </c>
      <c r="I14" s="17" t="s">
        <v>77</v>
      </c>
      <c r="J14" s="17" t="s">
        <v>77</v>
      </c>
      <c r="K14" s="17" t="s">
        <v>77</v>
      </c>
      <c r="L14" s="17" t="s">
        <v>77</v>
      </c>
      <c r="M14" s="17" t="s">
        <v>77</v>
      </c>
      <c r="N14" s="17" t="s">
        <v>77</v>
      </c>
      <c r="O14" s="17" t="s">
        <v>77</v>
      </c>
      <c r="P14" s="17" t="s">
        <v>77</v>
      </c>
      <c r="Q14" s="17" t="s">
        <v>77</v>
      </c>
      <c r="R14" s="17" t="s">
        <v>77</v>
      </c>
      <c r="S14" s="17" t="s">
        <v>77</v>
      </c>
      <c r="T14" s="17" t="s">
        <v>77</v>
      </c>
      <c r="U14" s="17" t="s">
        <v>77</v>
      </c>
      <c r="V14" s="17" t="s">
        <v>77</v>
      </c>
      <c r="W14" s="17" t="s">
        <v>77</v>
      </c>
      <c r="X14" s="17" t="s">
        <v>77</v>
      </c>
      <c r="Y14" s="17" t="s">
        <v>77</v>
      </c>
      <c r="Z14" s="17" t="s">
        <v>77</v>
      </c>
      <c r="AA14" s="17" t="s">
        <v>77</v>
      </c>
      <c r="AB14" s="17" t="s">
        <v>77</v>
      </c>
      <c r="AC14" s="17" t="s">
        <v>77</v>
      </c>
      <c r="AD14" s="17" t="s">
        <v>77</v>
      </c>
      <c r="AE14" s="17" t="s">
        <v>77</v>
      </c>
      <c r="AF14" s="17" t="s">
        <v>77</v>
      </c>
      <c r="AG14" s="17" t="s">
        <v>77</v>
      </c>
      <c r="AH14" s="17" t="s">
        <v>77</v>
      </c>
      <c r="AI14" s="17" t="s">
        <v>77</v>
      </c>
      <c r="AJ14" s="17" t="s">
        <v>77</v>
      </c>
      <c r="AK14" s="17" t="s">
        <v>77</v>
      </c>
      <c r="AL14" s="17" t="s">
        <v>77</v>
      </c>
      <c r="AM14" s="17" t="s">
        <v>77</v>
      </c>
      <c r="AN14" s="17" t="s">
        <v>77</v>
      </c>
      <c r="AO14" s="17" t="s">
        <v>26</v>
      </c>
      <c r="AP14" s="1" t="s">
        <v>26</v>
      </c>
      <c r="AQ14" s="1" t="s">
        <v>26</v>
      </c>
      <c r="AR14" s="1" t="s">
        <v>26</v>
      </c>
      <c r="AS14" s="1" t="s">
        <v>26</v>
      </c>
      <c r="AT14" s="17" t="s">
        <v>26</v>
      </c>
      <c r="AU14" s="17" t="s">
        <v>26</v>
      </c>
      <c r="AV14" s="18" t="s">
        <v>26</v>
      </c>
      <c r="AZ14" s="37"/>
    </row>
    <row r="15" spans="1:53" x14ac:dyDescent="0.25">
      <c r="A15" s="5" t="s">
        <v>13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20"/>
      <c r="AQ15" s="20"/>
      <c r="AR15" s="20"/>
      <c r="AS15" s="20"/>
      <c r="AT15" s="19"/>
      <c r="AU15" s="19"/>
      <c r="AV15" s="21"/>
    </row>
    <row r="16" spans="1:53" s="41" customFormat="1" x14ac:dyDescent="0.25">
      <c r="A16" s="40" t="s">
        <v>54</v>
      </c>
      <c r="B16" s="32" t="s">
        <v>78</v>
      </c>
      <c r="C16" s="32" t="s">
        <v>78</v>
      </c>
      <c r="D16" s="32" t="s">
        <v>78</v>
      </c>
      <c r="E16" s="32" t="s">
        <v>78</v>
      </c>
      <c r="F16" s="32" t="s">
        <v>78</v>
      </c>
      <c r="G16" s="32" t="s">
        <v>78</v>
      </c>
      <c r="H16" s="32" t="s">
        <v>78</v>
      </c>
      <c r="I16" s="32" t="s">
        <v>78</v>
      </c>
      <c r="J16" s="32" t="s">
        <v>78</v>
      </c>
      <c r="K16" s="32" t="s">
        <v>78</v>
      </c>
      <c r="L16" s="32" t="s">
        <v>78</v>
      </c>
      <c r="M16" s="32" t="s">
        <v>78</v>
      </c>
      <c r="N16" s="32" t="s">
        <v>78</v>
      </c>
      <c r="O16" s="32" t="s">
        <v>78</v>
      </c>
      <c r="P16" s="32" t="s">
        <v>78</v>
      </c>
      <c r="Q16" s="32" t="s">
        <v>78</v>
      </c>
      <c r="R16" s="32" t="s">
        <v>78</v>
      </c>
      <c r="S16" s="32" t="s">
        <v>78</v>
      </c>
      <c r="T16" s="32" t="s">
        <v>78</v>
      </c>
      <c r="U16" s="32" t="s">
        <v>78</v>
      </c>
      <c r="V16" s="32" t="s">
        <v>78</v>
      </c>
      <c r="W16" s="32" t="s">
        <v>78</v>
      </c>
      <c r="X16" s="32" t="s">
        <v>78</v>
      </c>
      <c r="Y16" s="32" t="s">
        <v>78</v>
      </c>
      <c r="Z16" s="32" t="s">
        <v>78</v>
      </c>
      <c r="AA16" s="32" t="s">
        <v>78</v>
      </c>
      <c r="AB16" s="32" t="s">
        <v>78</v>
      </c>
      <c r="AC16" s="32" t="s">
        <v>78</v>
      </c>
      <c r="AD16" s="32" t="s">
        <v>78</v>
      </c>
      <c r="AE16" s="32" t="s">
        <v>78</v>
      </c>
      <c r="AF16" s="32" t="s">
        <v>78</v>
      </c>
      <c r="AG16" s="32" t="s">
        <v>78</v>
      </c>
      <c r="AH16" s="32" t="s">
        <v>78</v>
      </c>
      <c r="AI16" s="32" t="s">
        <v>78</v>
      </c>
      <c r="AJ16" s="32" t="s">
        <v>78</v>
      </c>
      <c r="AK16" s="32" t="s">
        <v>78</v>
      </c>
      <c r="AL16" s="32" t="s">
        <v>78</v>
      </c>
      <c r="AM16" s="32" t="s">
        <v>78</v>
      </c>
      <c r="AN16" s="32" t="s">
        <v>78</v>
      </c>
      <c r="AO16" s="32" t="s">
        <v>27</v>
      </c>
      <c r="AP16" s="36" t="s">
        <v>27</v>
      </c>
      <c r="AQ16" s="36" t="s">
        <v>27</v>
      </c>
      <c r="AR16" s="36" t="s">
        <v>27</v>
      </c>
      <c r="AS16" s="36" t="s">
        <v>27</v>
      </c>
      <c r="AT16" s="36" t="s">
        <v>27</v>
      </c>
      <c r="AU16" s="42" t="s">
        <v>27</v>
      </c>
      <c r="AV16" s="43" t="s">
        <v>27</v>
      </c>
    </row>
    <row r="17" spans="1:52" s="41" customFormat="1" x14ac:dyDescent="0.25">
      <c r="A17" s="40" t="s">
        <v>55</v>
      </c>
      <c r="B17" s="32">
        <v>275</v>
      </c>
      <c r="C17" s="32">
        <v>275</v>
      </c>
      <c r="D17" s="32">
        <v>275</v>
      </c>
      <c r="E17" s="32">
        <v>275</v>
      </c>
      <c r="F17" s="32">
        <v>275</v>
      </c>
      <c r="G17" s="32">
        <v>275</v>
      </c>
      <c r="H17" s="32">
        <v>275</v>
      </c>
      <c r="I17" s="32">
        <v>275</v>
      </c>
      <c r="J17" s="32">
        <v>275</v>
      </c>
      <c r="K17" s="32">
        <v>275</v>
      </c>
      <c r="L17" s="32">
        <v>275</v>
      </c>
      <c r="M17" s="32">
        <v>275</v>
      </c>
      <c r="N17" s="32">
        <v>275</v>
      </c>
      <c r="O17" s="32">
        <v>275</v>
      </c>
      <c r="P17" s="32">
        <v>275</v>
      </c>
      <c r="Q17" s="32">
        <v>275</v>
      </c>
      <c r="R17" s="32">
        <v>275</v>
      </c>
      <c r="S17" s="32">
        <v>275</v>
      </c>
      <c r="T17" s="32">
        <v>275</v>
      </c>
      <c r="U17" s="32">
        <v>275</v>
      </c>
      <c r="V17" s="32">
        <v>275</v>
      </c>
      <c r="W17" s="32">
        <v>275</v>
      </c>
      <c r="X17" s="32">
        <v>275</v>
      </c>
      <c r="Y17" s="32">
        <v>275</v>
      </c>
      <c r="Z17" s="32">
        <v>275</v>
      </c>
      <c r="AA17" s="32">
        <v>275</v>
      </c>
      <c r="AB17" s="32">
        <v>275</v>
      </c>
      <c r="AC17" s="32">
        <v>275</v>
      </c>
      <c r="AD17" s="32">
        <v>275</v>
      </c>
      <c r="AE17" s="32">
        <v>275</v>
      </c>
      <c r="AF17" s="32">
        <v>275</v>
      </c>
      <c r="AG17" s="32">
        <v>275</v>
      </c>
      <c r="AH17" s="32">
        <v>275</v>
      </c>
      <c r="AI17" s="32">
        <v>275</v>
      </c>
      <c r="AJ17" s="33">
        <v>250</v>
      </c>
      <c r="AK17" s="33">
        <v>275</v>
      </c>
      <c r="AL17" s="32" t="s">
        <v>79</v>
      </c>
      <c r="AM17" s="32" t="s">
        <v>79</v>
      </c>
      <c r="AN17" s="32" t="s">
        <v>79</v>
      </c>
      <c r="AO17" s="32" t="s">
        <v>28</v>
      </c>
      <c r="AP17" s="36" t="s">
        <v>28</v>
      </c>
      <c r="AQ17" s="36" t="s">
        <v>28</v>
      </c>
      <c r="AR17" s="36" t="s">
        <v>28</v>
      </c>
      <c r="AS17" s="36" t="s">
        <v>28</v>
      </c>
      <c r="AT17" s="36" t="s">
        <v>28</v>
      </c>
      <c r="AU17" s="42" t="s">
        <v>28</v>
      </c>
      <c r="AV17" s="43" t="s">
        <v>107</v>
      </c>
    </row>
    <row r="18" spans="1:52" s="48" customFormat="1" x14ac:dyDescent="0.25">
      <c r="A18" s="44" t="s">
        <v>56</v>
      </c>
      <c r="B18" s="45">
        <v>3.5</v>
      </c>
      <c r="C18" s="45">
        <v>3.5</v>
      </c>
      <c r="D18" s="45">
        <v>3.5</v>
      </c>
      <c r="E18" s="45">
        <v>3.5</v>
      </c>
      <c r="F18" s="45">
        <v>3.5</v>
      </c>
      <c r="G18" s="45">
        <v>3.5</v>
      </c>
      <c r="H18" s="45">
        <v>3.5</v>
      </c>
      <c r="I18" s="45">
        <v>3.5</v>
      </c>
      <c r="J18" s="45">
        <v>3.5</v>
      </c>
      <c r="K18" s="45">
        <v>3.5</v>
      </c>
      <c r="L18" s="45">
        <v>3.5</v>
      </c>
      <c r="M18" s="45">
        <v>3.5</v>
      </c>
      <c r="N18" s="45">
        <v>3.5</v>
      </c>
      <c r="O18" s="45">
        <v>3.5</v>
      </c>
      <c r="P18" s="45">
        <v>3.5</v>
      </c>
      <c r="Q18" s="45">
        <v>3.5</v>
      </c>
      <c r="R18" s="45">
        <v>3.5</v>
      </c>
      <c r="S18" s="45">
        <v>3.5</v>
      </c>
      <c r="T18" s="45">
        <v>3.5</v>
      </c>
      <c r="U18" s="45">
        <v>3.5</v>
      </c>
      <c r="V18" s="45">
        <v>3.5</v>
      </c>
      <c r="W18" s="45">
        <v>3.5</v>
      </c>
      <c r="X18" s="45">
        <v>3.5</v>
      </c>
      <c r="Y18" s="45">
        <v>4</v>
      </c>
      <c r="Z18" s="51">
        <v>4</v>
      </c>
      <c r="AA18" s="51">
        <v>3.5</v>
      </c>
      <c r="AB18" s="51">
        <v>4</v>
      </c>
      <c r="AC18" s="51">
        <v>3.8</v>
      </c>
      <c r="AD18" s="45">
        <v>3.5</v>
      </c>
      <c r="AE18" s="45">
        <v>3.5</v>
      </c>
      <c r="AF18" s="45">
        <v>3.5</v>
      </c>
      <c r="AG18" s="51">
        <v>3</v>
      </c>
      <c r="AH18" s="51">
        <v>2.75</v>
      </c>
      <c r="AI18" s="45">
        <v>2.5</v>
      </c>
      <c r="AJ18" s="45" t="s">
        <v>80</v>
      </c>
      <c r="AK18" s="45" t="s">
        <v>80</v>
      </c>
      <c r="AL18" s="45" t="s">
        <v>80</v>
      </c>
      <c r="AM18" s="45" t="s">
        <v>80</v>
      </c>
      <c r="AN18" s="45" t="s">
        <v>80</v>
      </c>
      <c r="AO18" s="45" t="s">
        <v>29</v>
      </c>
      <c r="AP18" s="46" t="s">
        <v>29</v>
      </c>
      <c r="AQ18" s="46" t="s">
        <v>29</v>
      </c>
      <c r="AR18" s="46" t="s">
        <v>29</v>
      </c>
      <c r="AS18" s="46" t="s">
        <v>29</v>
      </c>
      <c r="AT18" s="46" t="s">
        <v>29</v>
      </c>
      <c r="AU18" s="46" t="s">
        <v>29</v>
      </c>
      <c r="AV18" s="47" t="s">
        <v>29</v>
      </c>
    </row>
    <row r="19" spans="1:52" x14ac:dyDescent="0.25">
      <c r="A19" s="6" t="s">
        <v>57</v>
      </c>
      <c r="B19" s="12" t="s">
        <v>81</v>
      </c>
      <c r="C19" s="12" t="s">
        <v>81</v>
      </c>
      <c r="D19" s="12" t="s">
        <v>81</v>
      </c>
      <c r="E19" s="12" t="s">
        <v>81</v>
      </c>
      <c r="F19" s="12" t="s">
        <v>81</v>
      </c>
      <c r="G19" s="12" t="s">
        <v>81</v>
      </c>
      <c r="H19" s="12" t="s">
        <v>81</v>
      </c>
      <c r="I19" s="12" t="s">
        <v>81</v>
      </c>
      <c r="J19" s="12" t="s">
        <v>81</v>
      </c>
      <c r="K19" s="12" t="s">
        <v>81</v>
      </c>
      <c r="L19" s="12" t="s">
        <v>81</v>
      </c>
      <c r="M19" s="12" t="s">
        <v>81</v>
      </c>
      <c r="N19" s="12" t="s">
        <v>81</v>
      </c>
      <c r="O19" s="77">
        <v>-0.2</v>
      </c>
      <c r="P19" s="77" t="s">
        <v>230</v>
      </c>
      <c r="Q19" s="12" t="s">
        <v>81</v>
      </c>
      <c r="R19" s="12" t="s">
        <v>81</v>
      </c>
      <c r="S19" s="12" t="s">
        <v>81</v>
      </c>
      <c r="T19" s="12" t="s">
        <v>81</v>
      </c>
      <c r="U19" s="12" t="s">
        <v>81</v>
      </c>
      <c r="V19" s="12" t="s">
        <v>81</v>
      </c>
      <c r="W19" s="12" t="s">
        <v>81</v>
      </c>
      <c r="X19" s="12" t="s">
        <v>81</v>
      </c>
      <c r="Y19" s="12" t="s">
        <v>81</v>
      </c>
      <c r="Z19" s="12" t="s">
        <v>81</v>
      </c>
      <c r="AA19" s="12" t="s">
        <v>81</v>
      </c>
      <c r="AB19" s="12" t="s">
        <v>81</v>
      </c>
      <c r="AC19" s="12" t="s">
        <v>81</v>
      </c>
      <c r="AD19" s="12" t="s">
        <v>81</v>
      </c>
      <c r="AE19" s="12" t="s">
        <v>81</v>
      </c>
      <c r="AF19" s="12" t="s">
        <v>81</v>
      </c>
      <c r="AG19" s="12" t="s">
        <v>81</v>
      </c>
      <c r="AH19" s="12" t="s">
        <v>81</v>
      </c>
      <c r="AI19" s="12" t="s">
        <v>81</v>
      </c>
      <c r="AJ19" s="12" t="s">
        <v>81</v>
      </c>
      <c r="AK19" s="12" t="s">
        <v>81</v>
      </c>
      <c r="AL19" s="12" t="s">
        <v>81</v>
      </c>
      <c r="AM19" s="12" t="s">
        <v>81</v>
      </c>
      <c r="AN19" s="12" t="s">
        <v>81</v>
      </c>
      <c r="AO19" s="12" t="s">
        <v>30</v>
      </c>
      <c r="AP19" s="24" t="s">
        <v>30</v>
      </c>
      <c r="AQ19" s="24" t="s">
        <v>30</v>
      </c>
      <c r="AR19" s="24" t="s">
        <v>30</v>
      </c>
      <c r="AS19" s="24" t="s">
        <v>30</v>
      </c>
      <c r="AT19" s="24" t="s">
        <v>30</v>
      </c>
      <c r="AU19" s="24" t="s">
        <v>30</v>
      </c>
      <c r="AV19" s="27" t="s">
        <v>30</v>
      </c>
      <c r="AZ19" s="37"/>
    </row>
    <row r="20" spans="1:52" x14ac:dyDescent="0.25">
      <c r="A20" s="6" t="s">
        <v>61</v>
      </c>
      <c r="B20" s="12" t="s">
        <v>82</v>
      </c>
      <c r="C20" s="12" t="s">
        <v>82</v>
      </c>
      <c r="D20" s="12" t="s">
        <v>82</v>
      </c>
      <c r="E20" s="12" t="s">
        <v>82</v>
      </c>
      <c r="F20" s="12" t="s">
        <v>82</v>
      </c>
      <c r="G20" s="12" t="s">
        <v>82</v>
      </c>
      <c r="H20" s="12" t="s">
        <v>82</v>
      </c>
      <c r="I20" s="12" t="s">
        <v>82</v>
      </c>
      <c r="J20" s="12" t="s">
        <v>82</v>
      </c>
      <c r="K20" s="12" t="s">
        <v>82</v>
      </c>
      <c r="L20" s="12" t="s">
        <v>82</v>
      </c>
      <c r="M20" s="12" t="s">
        <v>82</v>
      </c>
      <c r="N20" s="12" t="s">
        <v>82</v>
      </c>
      <c r="O20" s="12" t="s">
        <v>82</v>
      </c>
      <c r="P20" s="12" t="s">
        <v>82</v>
      </c>
      <c r="Q20" s="12" t="s">
        <v>82</v>
      </c>
      <c r="R20" s="12" t="s">
        <v>82</v>
      </c>
      <c r="S20" s="12" t="s">
        <v>82</v>
      </c>
      <c r="T20" s="12" t="s">
        <v>82</v>
      </c>
      <c r="U20" s="12" t="s">
        <v>82</v>
      </c>
      <c r="V20" s="12" t="s">
        <v>82</v>
      </c>
      <c r="W20" s="12" t="s">
        <v>82</v>
      </c>
      <c r="X20" s="12" t="s">
        <v>82</v>
      </c>
      <c r="Y20" s="12" t="s">
        <v>82</v>
      </c>
      <c r="Z20" s="12" t="s">
        <v>82</v>
      </c>
      <c r="AA20" s="12" t="s">
        <v>82</v>
      </c>
      <c r="AB20" s="12" t="s">
        <v>82</v>
      </c>
      <c r="AC20" s="12" t="s">
        <v>82</v>
      </c>
      <c r="AD20" s="12" t="s">
        <v>82</v>
      </c>
      <c r="AE20" s="12" t="s">
        <v>82</v>
      </c>
      <c r="AF20" s="12" t="s">
        <v>82</v>
      </c>
      <c r="AG20" s="12" t="s">
        <v>82</v>
      </c>
      <c r="AH20" s="12" t="s">
        <v>82</v>
      </c>
      <c r="AI20" s="12" t="s">
        <v>82</v>
      </c>
      <c r="AJ20" s="12" t="s">
        <v>82</v>
      </c>
      <c r="AK20" s="12" t="s">
        <v>82</v>
      </c>
      <c r="AL20" s="12" t="s">
        <v>82</v>
      </c>
      <c r="AM20" s="12" t="s">
        <v>82</v>
      </c>
      <c r="AN20" s="12" t="s">
        <v>82</v>
      </c>
      <c r="AO20" s="12" t="s">
        <v>31</v>
      </c>
      <c r="AP20" s="24" t="s">
        <v>31</v>
      </c>
      <c r="AQ20" s="24" t="s">
        <v>31</v>
      </c>
      <c r="AR20" s="24" t="s">
        <v>31</v>
      </c>
      <c r="AS20" s="24" t="s">
        <v>31</v>
      </c>
      <c r="AT20" s="24" t="s">
        <v>31</v>
      </c>
      <c r="AU20" s="24" t="s">
        <v>31</v>
      </c>
      <c r="AV20" s="27" t="s">
        <v>31</v>
      </c>
      <c r="AZ20" s="37"/>
    </row>
    <row r="21" spans="1:52" x14ac:dyDescent="0.25">
      <c r="A21" s="6" t="s">
        <v>62</v>
      </c>
      <c r="B21" s="12" t="s">
        <v>83</v>
      </c>
      <c r="C21" s="12" t="s">
        <v>83</v>
      </c>
      <c r="D21" s="12" t="s">
        <v>83</v>
      </c>
      <c r="E21" s="12" t="s">
        <v>83</v>
      </c>
      <c r="F21" s="12" t="s">
        <v>83</v>
      </c>
      <c r="G21" s="12" t="s">
        <v>83</v>
      </c>
      <c r="H21" s="12" t="s">
        <v>83</v>
      </c>
      <c r="I21" s="12" t="s">
        <v>83</v>
      </c>
      <c r="J21" s="12" t="s">
        <v>83</v>
      </c>
      <c r="K21" s="12" t="s">
        <v>83</v>
      </c>
      <c r="L21" s="12" t="s">
        <v>83</v>
      </c>
      <c r="M21" s="12" t="s">
        <v>83</v>
      </c>
      <c r="N21" s="12" t="s">
        <v>83</v>
      </c>
      <c r="O21" s="12" t="s">
        <v>83</v>
      </c>
      <c r="P21" s="12" t="s">
        <v>83</v>
      </c>
      <c r="Q21" s="12" t="s">
        <v>83</v>
      </c>
      <c r="R21" s="12" t="s">
        <v>83</v>
      </c>
      <c r="S21" s="12" t="s">
        <v>83</v>
      </c>
      <c r="T21" s="12" t="s">
        <v>83</v>
      </c>
      <c r="U21" s="12" t="s">
        <v>83</v>
      </c>
      <c r="V21" s="12" t="s">
        <v>83</v>
      </c>
      <c r="W21" s="12" t="s">
        <v>83</v>
      </c>
      <c r="X21" s="12" t="s">
        <v>83</v>
      </c>
      <c r="Y21" s="12" t="s">
        <v>83</v>
      </c>
      <c r="Z21" s="12" t="s">
        <v>83</v>
      </c>
      <c r="AA21" s="12" t="s">
        <v>83</v>
      </c>
      <c r="AB21" s="12" t="s">
        <v>83</v>
      </c>
      <c r="AC21" s="12" t="s">
        <v>83</v>
      </c>
      <c r="AD21" s="12" t="s">
        <v>83</v>
      </c>
      <c r="AE21" s="12" t="s">
        <v>83</v>
      </c>
      <c r="AF21" s="12" t="s">
        <v>83</v>
      </c>
      <c r="AG21" s="12" t="s">
        <v>83</v>
      </c>
      <c r="AH21" s="12" t="s">
        <v>83</v>
      </c>
      <c r="AI21" s="12" t="s">
        <v>83</v>
      </c>
      <c r="AJ21" s="12" t="s">
        <v>83</v>
      </c>
      <c r="AK21" s="12" t="s">
        <v>83</v>
      </c>
      <c r="AL21" s="12" t="s">
        <v>83</v>
      </c>
      <c r="AM21" s="12" t="s">
        <v>83</v>
      </c>
      <c r="AN21" s="12" t="s">
        <v>83</v>
      </c>
      <c r="AO21" s="12" t="s">
        <v>32</v>
      </c>
      <c r="AP21" s="24" t="s">
        <v>32</v>
      </c>
      <c r="AQ21" s="24" t="s">
        <v>32</v>
      </c>
      <c r="AR21" s="24" t="s">
        <v>32</v>
      </c>
      <c r="AS21" s="24" t="s">
        <v>32</v>
      </c>
      <c r="AT21" s="24" t="s">
        <v>32</v>
      </c>
      <c r="AU21" s="24" t="s">
        <v>32</v>
      </c>
      <c r="AV21" s="27" t="s">
        <v>32</v>
      </c>
      <c r="AZ21" s="37"/>
    </row>
    <row r="22" spans="1:52" x14ac:dyDescent="0.25">
      <c r="A22" s="6" t="s">
        <v>112</v>
      </c>
      <c r="B22" s="12" t="s">
        <v>84</v>
      </c>
      <c r="C22" s="12" t="s">
        <v>84</v>
      </c>
      <c r="D22" s="12" t="s">
        <v>84</v>
      </c>
      <c r="E22" s="12" t="s">
        <v>84</v>
      </c>
      <c r="F22" s="12" t="s">
        <v>84</v>
      </c>
      <c r="G22" s="12" t="s">
        <v>84</v>
      </c>
      <c r="H22" s="12" t="s">
        <v>84</v>
      </c>
      <c r="I22" s="12" t="s">
        <v>84</v>
      </c>
      <c r="J22" s="12" t="s">
        <v>84</v>
      </c>
      <c r="K22" s="12" t="s">
        <v>84</v>
      </c>
      <c r="L22" s="12" t="s">
        <v>84</v>
      </c>
      <c r="M22" s="12" t="s">
        <v>84</v>
      </c>
      <c r="N22" s="12" t="s">
        <v>84</v>
      </c>
      <c r="O22" s="12" t="s">
        <v>84</v>
      </c>
      <c r="P22" s="12" t="s">
        <v>84</v>
      </c>
      <c r="Q22" s="12" t="s">
        <v>84</v>
      </c>
      <c r="R22" s="12" t="s">
        <v>84</v>
      </c>
      <c r="S22" s="12" t="s">
        <v>84</v>
      </c>
      <c r="T22" s="12" t="s">
        <v>84</v>
      </c>
      <c r="U22" s="12" t="s">
        <v>84</v>
      </c>
      <c r="V22" s="12" t="s">
        <v>84</v>
      </c>
      <c r="W22" s="12" t="s">
        <v>84</v>
      </c>
      <c r="X22" s="12" t="s">
        <v>84</v>
      </c>
      <c r="Y22" s="12" t="s">
        <v>84</v>
      </c>
      <c r="Z22" s="12" t="s">
        <v>84</v>
      </c>
      <c r="AA22" s="12" t="s">
        <v>84</v>
      </c>
      <c r="AB22" s="12" t="s">
        <v>84</v>
      </c>
      <c r="AC22" s="12" t="s">
        <v>84</v>
      </c>
      <c r="AD22" s="12" t="s">
        <v>84</v>
      </c>
      <c r="AE22" s="12" t="s">
        <v>84</v>
      </c>
      <c r="AF22" s="12" t="s">
        <v>84</v>
      </c>
      <c r="AG22" s="12" t="s">
        <v>84</v>
      </c>
      <c r="AH22" s="12" t="s">
        <v>84</v>
      </c>
      <c r="AI22" s="12" t="s">
        <v>84</v>
      </c>
      <c r="AJ22" s="12" t="s">
        <v>84</v>
      </c>
      <c r="AK22" s="12" t="s">
        <v>84</v>
      </c>
      <c r="AL22" s="12" t="s">
        <v>84</v>
      </c>
      <c r="AM22" s="12" t="s">
        <v>84</v>
      </c>
      <c r="AN22" s="12" t="s">
        <v>84</v>
      </c>
      <c r="AO22" s="12" t="s">
        <v>33</v>
      </c>
      <c r="AP22" s="24" t="s">
        <v>33</v>
      </c>
      <c r="AQ22" s="24" t="s">
        <v>33</v>
      </c>
      <c r="AR22" s="24" t="s">
        <v>33</v>
      </c>
      <c r="AS22" s="24" t="s">
        <v>33</v>
      </c>
      <c r="AT22" s="24" t="s">
        <v>33</v>
      </c>
      <c r="AU22" s="24" t="s">
        <v>33</v>
      </c>
      <c r="AV22" s="27" t="s">
        <v>33</v>
      </c>
      <c r="AZ22" s="37"/>
    </row>
    <row r="23" spans="1:52" x14ac:dyDescent="0.25">
      <c r="A23" s="6" t="s">
        <v>34</v>
      </c>
      <c r="B23" s="12" t="s">
        <v>85</v>
      </c>
      <c r="C23" s="12" t="s">
        <v>85</v>
      </c>
      <c r="D23" s="12" t="s">
        <v>85</v>
      </c>
      <c r="E23" s="12" t="s">
        <v>85</v>
      </c>
      <c r="F23" s="12" t="s">
        <v>85</v>
      </c>
      <c r="G23" s="12" t="s">
        <v>85</v>
      </c>
      <c r="H23" s="12" t="s">
        <v>85</v>
      </c>
      <c r="I23" s="12" t="s">
        <v>85</v>
      </c>
      <c r="J23" s="12" t="s">
        <v>85</v>
      </c>
      <c r="K23" s="12" t="s">
        <v>85</v>
      </c>
      <c r="L23" s="12" t="s">
        <v>85</v>
      </c>
      <c r="M23" s="12" t="s">
        <v>85</v>
      </c>
      <c r="N23" s="12" t="s">
        <v>85</v>
      </c>
      <c r="O23" s="12" t="s">
        <v>85</v>
      </c>
      <c r="P23" s="12" t="s">
        <v>85</v>
      </c>
      <c r="Q23" s="12" t="s">
        <v>85</v>
      </c>
      <c r="R23" s="12" t="s">
        <v>85</v>
      </c>
      <c r="S23" s="12" t="s">
        <v>85</v>
      </c>
      <c r="T23" s="12" t="s">
        <v>85</v>
      </c>
      <c r="U23" s="12" t="s">
        <v>85</v>
      </c>
      <c r="V23" s="12" t="s">
        <v>85</v>
      </c>
      <c r="W23" s="12" t="s">
        <v>85</v>
      </c>
      <c r="X23" s="12" t="s">
        <v>85</v>
      </c>
      <c r="Y23" s="12" t="s">
        <v>85</v>
      </c>
      <c r="Z23" s="12" t="s">
        <v>85</v>
      </c>
      <c r="AA23" s="12" t="s">
        <v>85</v>
      </c>
      <c r="AB23" s="12" t="s">
        <v>85</v>
      </c>
      <c r="AC23" s="12" t="s">
        <v>85</v>
      </c>
      <c r="AD23" s="12" t="s">
        <v>85</v>
      </c>
      <c r="AE23" s="12" t="s">
        <v>85</v>
      </c>
      <c r="AF23" s="12" t="s">
        <v>85</v>
      </c>
      <c r="AG23" s="12" t="s">
        <v>85</v>
      </c>
      <c r="AH23" s="12" t="s">
        <v>85</v>
      </c>
      <c r="AI23" s="12" t="s">
        <v>85</v>
      </c>
      <c r="AJ23" s="12" t="s">
        <v>85</v>
      </c>
      <c r="AK23" s="12" t="s">
        <v>85</v>
      </c>
      <c r="AL23" s="12" t="s">
        <v>85</v>
      </c>
      <c r="AM23" s="12" t="s">
        <v>85</v>
      </c>
      <c r="AN23" s="12" t="s">
        <v>85</v>
      </c>
      <c r="AO23" s="12" t="s">
        <v>35</v>
      </c>
      <c r="AP23" s="24" t="s">
        <v>35</v>
      </c>
      <c r="AQ23" s="24" t="s">
        <v>35</v>
      </c>
      <c r="AR23" s="24" t="s">
        <v>35</v>
      </c>
      <c r="AS23" s="24" t="s">
        <v>35</v>
      </c>
      <c r="AT23" s="24" t="s">
        <v>35</v>
      </c>
      <c r="AU23" s="24" t="s">
        <v>105</v>
      </c>
      <c r="AV23" s="27" t="s">
        <v>105</v>
      </c>
      <c r="AZ23" s="2"/>
    </row>
    <row r="24" spans="1:52" x14ac:dyDescent="0.25">
      <c r="A24" s="6" t="s">
        <v>63</v>
      </c>
      <c r="B24" s="12" t="s">
        <v>86</v>
      </c>
      <c r="C24" s="12" t="s">
        <v>86</v>
      </c>
      <c r="D24" s="12" t="s">
        <v>86</v>
      </c>
      <c r="E24" s="12" t="s">
        <v>86</v>
      </c>
      <c r="F24" s="12" t="s">
        <v>86</v>
      </c>
      <c r="G24" s="12" t="s">
        <v>86</v>
      </c>
      <c r="H24" s="12" t="s">
        <v>86</v>
      </c>
      <c r="I24" s="12" t="s">
        <v>86</v>
      </c>
      <c r="J24" s="12" t="s">
        <v>86</v>
      </c>
      <c r="K24" s="12" t="s">
        <v>86</v>
      </c>
      <c r="L24" s="12" t="s">
        <v>86</v>
      </c>
      <c r="M24" s="12" t="s">
        <v>86</v>
      </c>
      <c r="N24" s="12" t="s">
        <v>86</v>
      </c>
      <c r="O24" s="12" t="s">
        <v>86</v>
      </c>
      <c r="P24" s="12" t="s">
        <v>86</v>
      </c>
      <c r="Q24" s="12" t="s">
        <v>86</v>
      </c>
      <c r="R24" s="12" t="s">
        <v>86</v>
      </c>
      <c r="S24" s="12" t="s">
        <v>86</v>
      </c>
      <c r="T24" s="12" t="s">
        <v>86</v>
      </c>
      <c r="U24" s="12" t="s">
        <v>86</v>
      </c>
      <c r="V24" s="12" t="s">
        <v>86</v>
      </c>
      <c r="W24" s="12" t="s">
        <v>86</v>
      </c>
      <c r="X24" s="12" t="s">
        <v>86</v>
      </c>
      <c r="Y24" s="12" t="s">
        <v>86</v>
      </c>
      <c r="Z24" s="12" t="s">
        <v>86</v>
      </c>
      <c r="AA24" s="12" t="s">
        <v>86</v>
      </c>
      <c r="AB24" s="12" t="s">
        <v>86</v>
      </c>
      <c r="AC24" s="12" t="s">
        <v>86</v>
      </c>
      <c r="AD24" s="12" t="s">
        <v>86</v>
      </c>
      <c r="AE24" s="12" t="s">
        <v>86</v>
      </c>
      <c r="AF24" s="12" t="s">
        <v>86</v>
      </c>
      <c r="AG24" s="12" t="s">
        <v>86</v>
      </c>
      <c r="AH24" s="12" t="s">
        <v>86</v>
      </c>
      <c r="AI24" s="12" t="s">
        <v>86</v>
      </c>
      <c r="AJ24" s="12" t="s">
        <v>86</v>
      </c>
      <c r="AK24" s="12" t="s">
        <v>86</v>
      </c>
      <c r="AL24" s="12" t="s">
        <v>86</v>
      </c>
      <c r="AM24" s="12" t="s">
        <v>86</v>
      </c>
      <c r="AN24" s="12" t="s">
        <v>86</v>
      </c>
      <c r="AO24" s="12" t="s">
        <v>36</v>
      </c>
      <c r="AP24" s="24" t="s">
        <v>36</v>
      </c>
      <c r="AQ24" s="24" t="s">
        <v>36</v>
      </c>
      <c r="AR24" s="24" t="s">
        <v>36</v>
      </c>
      <c r="AS24" s="24" t="s">
        <v>36</v>
      </c>
      <c r="AT24" s="24" t="s">
        <v>36</v>
      </c>
      <c r="AU24" s="24" t="s">
        <v>36</v>
      </c>
      <c r="AV24" s="27" t="s">
        <v>36</v>
      </c>
    </row>
    <row r="25" spans="1:52" x14ac:dyDescent="0.25">
      <c r="A25" s="6" t="s">
        <v>64</v>
      </c>
      <c r="B25" s="12" t="s">
        <v>86</v>
      </c>
      <c r="C25" s="12" t="s">
        <v>86</v>
      </c>
      <c r="D25" s="12" t="s">
        <v>86</v>
      </c>
      <c r="E25" s="12" t="s">
        <v>86</v>
      </c>
      <c r="F25" s="12" t="s">
        <v>86</v>
      </c>
      <c r="G25" s="12" t="s">
        <v>86</v>
      </c>
      <c r="H25" s="12" t="s">
        <v>86</v>
      </c>
      <c r="I25" s="12" t="s">
        <v>86</v>
      </c>
      <c r="J25" s="12" t="s">
        <v>86</v>
      </c>
      <c r="K25" s="12" t="s">
        <v>86</v>
      </c>
      <c r="L25" s="12" t="s">
        <v>86</v>
      </c>
      <c r="M25" s="12" t="s">
        <v>86</v>
      </c>
      <c r="N25" s="12" t="s">
        <v>86</v>
      </c>
      <c r="O25" s="12" t="s">
        <v>86</v>
      </c>
      <c r="P25" s="12" t="s">
        <v>86</v>
      </c>
      <c r="Q25" s="12" t="s">
        <v>86</v>
      </c>
      <c r="R25" s="12" t="s">
        <v>86</v>
      </c>
      <c r="S25" s="12" t="s">
        <v>86</v>
      </c>
      <c r="T25" s="12" t="s">
        <v>86</v>
      </c>
      <c r="U25" s="12" t="s">
        <v>86</v>
      </c>
      <c r="V25" s="12" t="s">
        <v>86</v>
      </c>
      <c r="W25" s="12" t="s">
        <v>86</v>
      </c>
      <c r="X25" s="12" t="s">
        <v>86</v>
      </c>
      <c r="Y25" s="12" t="s">
        <v>86</v>
      </c>
      <c r="Z25" s="12" t="s">
        <v>86</v>
      </c>
      <c r="AA25" s="12" t="s">
        <v>86</v>
      </c>
      <c r="AB25" s="12" t="s">
        <v>86</v>
      </c>
      <c r="AC25" s="12" t="s">
        <v>86</v>
      </c>
      <c r="AD25" s="12" t="s">
        <v>86</v>
      </c>
      <c r="AE25" s="12" t="s">
        <v>86</v>
      </c>
      <c r="AF25" s="12" t="s">
        <v>86</v>
      </c>
      <c r="AG25" s="12" t="s">
        <v>86</v>
      </c>
      <c r="AH25" s="12" t="s">
        <v>86</v>
      </c>
      <c r="AI25" s="12" t="s">
        <v>86</v>
      </c>
      <c r="AJ25" s="12" t="s">
        <v>86</v>
      </c>
      <c r="AK25" s="12" t="s">
        <v>86</v>
      </c>
      <c r="AL25" s="12" t="s">
        <v>86</v>
      </c>
      <c r="AM25" s="12" t="s">
        <v>86</v>
      </c>
      <c r="AN25" s="12" t="s">
        <v>86</v>
      </c>
      <c r="AO25" s="12" t="s">
        <v>36</v>
      </c>
      <c r="AP25" s="24" t="s">
        <v>36</v>
      </c>
      <c r="AQ25" s="24" t="s">
        <v>36</v>
      </c>
      <c r="AR25" s="24" t="s">
        <v>36</v>
      </c>
      <c r="AS25" s="24" t="s">
        <v>36</v>
      </c>
      <c r="AT25" s="24" t="s">
        <v>36</v>
      </c>
      <c r="AU25" s="24" t="s">
        <v>36</v>
      </c>
      <c r="AV25" s="27" t="s">
        <v>36</v>
      </c>
    </row>
    <row r="26" spans="1:52" x14ac:dyDescent="0.25">
      <c r="A26" s="6" t="s">
        <v>65</v>
      </c>
      <c r="B26" s="12" t="s">
        <v>87</v>
      </c>
      <c r="C26" s="12" t="s">
        <v>87</v>
      </c>
      <c r="D26" s="12" t="s">
        <v>87</v>
      </c>
      <c r="E26" s="12" t="s">
        <v>87</v>
      </c>
      <c r="F26" s="12" t="s">
        <v>87</v>
      </c>
      <c r="G26" s="12" t="s">
        <v>87</v>
      </c>
      <c r="H26" s="12" t="s">
        <v>87</v>
      </c>
      <c r="I26" s="12" t="s">
        <v>87</v>
      </c>
      <c r="J26" s="12" t="s">
        <v>87</v>
      </c>
      <c r="K26" s="12" t="s">
        <v>87</v>
      </c>
      <c r="L26" s="12" t="s">
        <v>87</v>
      </c>
      <c r="M26" s="12" t="s">
        <v>87</v>
      </c>
      <c r="N26" s="12" t="s">
        <v>87</v>
      </c>
      <c r="O26" s="12" t="s">
        <v>87</v>
      </c>
      <c r="P26" s="12" t="s">
        <v>87</v>
      </c>
      <c r="Q26" s="12" t="s">
        <v>87</v>
      </c>
      <c r="R26" s="12" t="s">
        <v>87</v>
      </c>
      <c r="S26" s="12" t="s">
        <v>87</v>
      </c>
      <c r="T26" s="12" t="s">
        <v>87</v>
      </c>
      <c r="U26" s="12" t="s">
        <v>87</v>
      </c>
      <c r="V26" s="12" t="s">
        <v>87</v>
      </c>
      <c r="W26" s="12" t="s">
        <v>87</v>
      </c>
      <c r="X26" s="12" t="s">
        <v>87</v>
      </c>
      <c r="Y26" s="12" t="s">
        <v>87</v>
      </c>
      <c r="Z26" s="12" t="s">
        <v>87</v>
      </c>
      <c r="AA26" s="12" t="s">
        <v>87</v>
      </c>
      <c r="AB26" s="12" t="s">
        <v>87</v>
      </c>
      <c r="AC26" s="12" t="s">
        <v>87</v>
      </c>
      <c r="AD26" s="12" t="s">
        <v>87</v>
      </c>
      <c r="AE26" s="12" t="s">
        <v>87</v>
      </c>
      <c r="AF26" s="12" t="s">
        <v>87</v>
      </c>
      <c r="AG26" s="12" t="s">
        <v>87</v>
      </c>
      <c r="AH26" s="12" t="s">
        <v>87</v>
      </c>
      <c r="AI26" s="12" t="s">
        <v>87</v>
      </c>
      <c r="AJ26" s="12" t="s">
        <v>87</v>
      </c>
      <c r="AK26" s="12" t="s">
        <v>87</v>
      </c>
      <c r="AL26" s="12" t="s">
        <v>87</v>
      </c>
      <c r="AM26" s="12" t="s">
        <v>87</v>
      </c>
      <c r="AN26" s="12" t="s">
        <v>87</v>
      </c>
      <c r="AO26" s="12" t="s">
        <v>37</v>
      </c>
      <c r="AP26" s="24" t="s">
        <v>37</v>
      </c>
      <c r="AQ26" s="16" t="s">
        <v>37</v>
      </c>
      <c r="AR26" s="24" t="s">
        <v>37</v>
      </c>
      <c r="AS26" s="24" t="s">
        <v>37</v>
      </c>
      <c r="AT26" s="24" t="s">
        <v>37</v>
      </c>
      <c r="AU26" s="24" t="s">
        <v>37</v>
      </c>
      <c r="AV26" s="27" t="s">
        <v>37</v>
      </c>
    </row>
    <row r="27" spans="1:52" x14ac:dyDescent="0.25">
      <c r="A27" s="6" t="s">
        <v>66</v>
      </c>
      <c r="B27" s="12" t="s">
        <v>88</v>
      </c>
      <c r="C27" s="12" t="s">
        <v>88</v>
      </c>
      <c r="D27" s="12" t="s">
        <v>88</v>
      </c>
      <c r="E27" s="12" t="s">
        <v>88</v>
      </c>
      <c r="F27" s="12" t="s">
        <v>88</v>
      </c>
      <c r="G27" s="12" t="s">
        <v>88</v>
      </c>
      <c r="H27" s="12" t="s">
        <v>88</v>
      </c>
      <c r="I27" s="12" t="s">
        <v>88</v>
      </c>
      <c r="J27" s="12" t="s">
        <v>88</v>
      </c>
      <c r="K27" s="12" t="s">
        <v>88</v>
      </c>
      <c r="L27" s="12" t="s">
        <v>88</v>
      </c>
      <c r="M27" s="12" t="s">
        <v>88</v>
      </c>
      <c r="N27" s="12" t="s">
        <v>88</v>
      </c>
      <c r="O27" s="12" t="s">
        <v>88</v>
      </c>
      <c r="P27" s="12" t="s">
        <v>88</v>
      </c>
      <c r="Q27" s="12" t="s">
        <v>88</v>
      </c>
      <c r="R27" s="12" t="s">
        <v>88</v>
      </c>
      <c r="S27" s="12" t="s">
        <v>88</v>
      </c>
      <c r="T27" s="12" t="s">
        <v>88</v>
      </c>
      <c r="U27" s="12" t="s">
        <v>88</v>
      </c>
      <c r="V27" s="12" t="s">
        <v>88</v>
      </c>
      <c r="W27" s="12" t="s">
        <v>88</v>
      </c>
      <c r="X27" s="12" t="s">
        <v>88</v>
      </c>
      <c r="Y27" s="12" t="s">
        <v>88</v>
      </c>
      <c r="Z27" s="12" t="s">
        <v>88</v>
      </c>
      <c r="AA27" s="12" t="s">
        <v>88</v>
      </c>
      <c r="AB27" s="12" t="s">
        <v>88</v>
      </c>
      <c r="AC27" s="12" t="s">
        <v>88</v>
      </c>
      <c r="AD27" s="12" t="s">
        <v>88</v>
      </c>
      <c r="AE27" s="12" t="s">
        <v>88</v>
      </c>
      <c r="AF27" s="12" t="s">
        <v>88</v>
      </c>
      <c r="AG27" s="12" t="s">
        <v>88</v>
      </c>
      <c r="AH27" s="12" t="s">
        <v>88</v>
      </c>
      <c r="AI27" s="12" t="s">
        <v>88</v>
      </c>
      <c r="AJ27" s="12" t="s">
        <v>88</v>
      </c>
      <c r="AK27" s="12" t="s">
        <v>88</v>
      </c>
      <c r="AL27" s="12" t="s">
        <v>88</v>
      </c>
      <c r="AM27" s="12" t="s">
        <v>88</v>
      </c>
      <c r="AN27" s="12" t="s">
        <v>88</v>
      </c>
      <c r="AO27" s="12" t="s">
        <v>38</v>
      </c>
      <c r="AP27" s="24" t="s">
        <v>38</v>
      </c>
      <c r="AQ27" s="24" t="s">
        <v>38</v>
      </c>
      <c r="AR27" s="16" t="s">
        <v>38</v>
      </c>
      <c r="AS27" s="24" t="s">
        <v>38</v>
      </c>
      <c r="AT27" s="24" t="s">
        <v>38</v>
      </c>
      <c r="AU27" s="24" t="s">
        <v>38</v>
      </c>
      <c r="AV27" s="27" t="s">
        <v>38</v>
      </c>
    </row>
    <row r="28" spans="1:52" x14ac:dyDescent="0.25">
      <c r="A28" s="7" t="s">
        <v>67</v>
      </c>
      <c r="B28" s="17" t="s">
        <v>88</v>
      </c>
      <c r="C28" s="17" t="s">
        <v>88</v>
      </c>
      <c r="D28" s="17" t="s">
        <v>88</v>
      </c>
      <c r="E28" s="17" t="s">
        <v>88</v>
      </c>
      <c r="F28" s="17" t="s">
        <v>88</v>
      </c>
      <c r="G28" s="17" t="s">
        <v>88</v>
      </c>
      <c r="H28" s="17" t="s">
        <v>88</v>
      </c>
      <c r="I28" s="17" t="s">
        <v>88</v>
      </c>
      <c r="J28" s="17" t="s">
        <v>88</v>
      </c>
      <c r="K28" s="17" t="s">
        <v>88</v>
      </c>
      <c r="L28" s="17" t="s">
        <v>88</v>
      </c>
      <c r="M28" s="17" t="s">
        <v>88</v>
      </c>
      <c r="N28" s="17" t="s">
        <v>88</v>
      </c>
      <c r="O28" s="17" t="s">
        <v>88</v>
      </c>
      <c r="P28" s="17" t="s">
        <v>88</v>
      </c>
      <c r="Q28" s="17" t="s">
        <v>88</v>
      </c>
      <c r="R28" s="17" t="s">
        <v>88</v>
      </c>
      <c r="S28" s="17" t="s">
        <v>88</v>
      </c>
      <c r="T28" s="17" t="s">
        <v>88</v>
      </c>
      <c r="U28" s="17" t="s">
        <v>88</v>
      </c>
      <c r="V28" s="17" t="s">
        <v>88</v>
      </c>
      <c r="W28" s="17" t="s">
        <v>88</v>
      </c>
      <c r="X28" s="17" t="s">
        <v>88</v>
      </c>
      <c r="Y28" s="17" t="s">
        <v>88</v>
      </c>
      <c r="Z28" s="17" t="s">
        <v>88</v>
      </c>
      <c r="AA28" s="17" t="s">
        <v>88</v>
      </c>
      <c r="AB28" s="17" t="s">
        <v>88</v>
      </c>
      <c r="AC28" s="17" t="s">
        <v>88</v>
      </c>
      <c r="AD28" s="17" t="s">
        <v>88</v>
      </c>
      <c r="AE28" s="17" t="s">
        <v>88</v>
      </c>
      <c r="AF28" s="17" t="s">
        <v>88</v>
      </c>
      <c r="AG28" s="17" t="s">
        <v>88</v>
      </c>
      <c r="AH28" s="17" t="s">
        <v>88</v>
      </c>
      <c r="AI28" s="17" t="s">
        <v>88</v>
      </c>
      <c r="AJ28" s="17" t="s">
        <v>88</v>
      </c>
      <c r="AK28" s="17" t="s">
        <v>88</v>
      </c>
      <c r="AL28" s="17" t="s">
        <v>88</v>
      </c>
      <c r="AM28" s="17" t="s">
        <v>88</v>
      </c>
      <c r="AN28" s="17" t="s">
        <v>88</v>
      </c>
      <c r="AO28" s="17" t="s">
        <v>38</v>
      </c>
      <c r="AP28" s="26" t="s">
        <v>38</v>
      </c>
      <c r="AQ28" s="26" t="s">
        <v>38</v>
      </c>
      <c r="AR28" s="26" t="s">
        <v>38</v>
      </c>
      <c r="AS28" s="26" t="s">
        <v>38</v>
      </c>
      <c r="AT28" s="26" t="s">
        <v>38</v>
      </c>
      <c r="AU28" s="26" t="s">
        <v>38</v>
      </c>
      <c r="AV28" s="28" t="s">
        <v>38</v>
      </c>
    </row>
    <row r="29" spans="1:52" x14ac:dyDescent="0.25">
      <c r="A29" s="5" t="s">
        <v>14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20"/>
      <c r="AQ29" s="20"/>
      <c r="AR29" s="20"/>
      <c r="AS29" s="20"/>
      <c r="AT29" s="19"/>
      <c r="AU29" s="19"/>
      <c r="AV29" s="21"/>
    </row>
    <row r="30" spans="1:52" x14ac:dyDescent="0.25">
      <c r="A30" s="6" t="s">
        <v>113</v>
      </c>
      <c r="B30" s="12" t="s">
        <v>212</v>
      </c>
      <c r="C30" s="12" t="s">
        <v>212</v>
      </c>
      <c r="D30" s="12" t="s">
        <v>212</v>
      </c>
      <c r="E30" s="12" t="s">
        <v>212</v>
      </c>
      <c r="F30" s="12" t="s">
        <v>212</v>
      </c>
      <c r="G30" s="12" t="s">
        <v>212</v>
      </c>
      <c r="H30" s="12" t="s">
        <v>212</v>
      </c>
      <c r="I30" s="12" t="s">
        <v>212</v>
      </c>
      <c r="J30" s="12" t="s">
        <v>212</v>
      </c>
      <c r="K30" s="12" t="s">
        <v>212</v>
      </c>
      <c r="L30" s="12" t="s">
        <v>212</v>
      </c>
      <c r="M30" s="12" t="s">
        <v>212</v>
      </c>
      <c r="N30" s="12" t="s">
        <v>212</v>
      </c>
      <c r="O30" s="12" t="s">
        <v>89</v>
      </c>
      <c r="P30" s="12" t="s">
        <v>89</v>
      </c>
      <c r="Q30" s="12" t="s">
        <v>89</v>
      </c>
      <c r="R30" s="12" t="s">
        <v>89</v>
      </c>
      <c r="S30" s="12" t="s">
        <v>89</v>
      </c>
      <c r="T30" s="12" t="s">
        <v>89</v>
      </c>
      <c r="U30" s="12" t="s">
        <v>89</v>
      </c>
      <c r="V30" s="12" t="s">
        <v>89</v>
      </c>
      <c r="W30" s="12" t="s">
        <v>89</v>
      </c>
      <c r="X30" s="12" t="s">
        <v>89</v>
      </c>
      <c r="Y30" s="12" t="s">
        <v>89</v>
      </c>
      <c r="Z30" s="12" t="s">
        <v>89</v>
      </c>
      <c r="AA30" s="12" t="s">
        <v>89</v>
      </c>
      <c r="AB30" s="12" t="s">
        <v>89</v>
      </c>
      <c r="AC30" s="12" t="s">
        <v>89</v>
      </c>
      <c r="AD30" s="12" t="s">
        <v>89</v>
      </c>
      <c r="AE30" s="12" t="s">
        <v>89</v>
      </c>
      <c r="AF30" s="12" t="s">
        <v>89</v>
      </c>
      <c r="AG30" s="12" t="s">
        <v>89</v>
      </c>
      <c r="AH30" s="12" t="s">
        <v>89</v>
      </c>
      <c r="AI30" s="12" t="s">
        <v>89</v>
      </c>
      <c r="AJ30" s="12" t="s">
        <v>89</v>
      </c>
      <c r="AK30" s="12" t="s">
        <v>89</v>
      </c>
      <c r="AL30" s="12" t="s">
        <v>89</v>
      </c>
      <c r="AM30" s="12" t="s">
        <v>89</v>
      </c>
      <c r="AN30" s="12" t="s">
        <v>89</v>
      </c>
      <c r="AO30" s="12" t="s">
        <v>40</v>
      </c>
      <c r="AP30" s="24" t="s">
        <v>40</v>
      </c>
      <c r="AQ30" s="24" t="s">
        <v>40</v>
      </c>
      <c r="AR30" s="24" t="s">
        <v>40</v>
      </c>
      <c r="AS30" s="24" t="s">
        <v>40</v>
      </c>
      <c r="AT30" s="24" t="s">
        <v>40</v>
      </c>
      <c r="AU30" s="24" t="s">
        <v>40</v>
      </c>
      <c r="AV30" s="27" t="s">
        <v>40</v>
      </c>
    </row>
    <row r="31" spans="1:52" x14ac:dyDescent="0.25">
      <c r="A31" s="6" t="s">
        <v>114</v>
      </c>
      <c r="B31" s="12" t="s">
        <v>213</v>
      </c>
      <c r="C31" s="12" t="s">
        <v>213</v>
      </c>
      <c r="D31" s="12" t="s">
        <v>213</v>
      </c>
      <c r="E31" s="12" t="s">
        <v>213</v>
      </c>
      <c r="F31" s="12" t="s">
        <v>213</v>
      </c>
      <c r="G31" s="12" t="s">
        <v>213</v>
      </c>
      <c r="H31" s="12" t="s">
        <v>213</v>
      </c>
      <c r="I31" s="12" t="s">
        <v>213</v>
      </c>
      <c r="J31" s="12" t="s">
        <v>213</v>
      </c>
      <c r="K31" s="12" t="s">
        <v>213</v>
      </c>
      <c r="L31" s="12" t="s">
        <v>213</v>
      </c>
      <c r="M31" s="12" t="s">
        <v>213</v>
      </c>
      <c r="N31" s="12" t="s">
        <v>213</v>
      </c>
      <c r="O31" s="12" t="s">
        <v>90</v>
      </c>
      <c r="P31" s="12" t="s">
        <v>90</v>
      </c>
      <c r="Q31" s="12" t="s">
        <v>90</v>
      </c>
      <c r="R31" s="12" t="s">
        <v>90</v>
      </c>
      <c r="S31" s="12" t="s">
        <v>90</v>
      </c>
      <c r="T31" s="12" t="s">
        <v>90</v>
      </c>
      <c r="U31" s="12" t="s">
        <v>90</v>
      </c>
      <c r="V31" s="12" t="s">
        <v>90</v>
      </c>
      <c r="W31" s="12" t="s">
        <v>90</v>
      </c>
      <c r="X31" s="12" t="s">
        <v>90</v>
      </c>
      <c r="Y31" s="12" t="s">
        <v>90</v>
      </c>
      <c r="Z31" s="12" t="s">
        <v>90</v>
      </c>
      <c r="AA31" s="12" t="s">
        <v>90</v>
      </c>
      <c r="AB31" s="12" t="s">
        <v>90</v>
      </c>
      <c r="AC31" s="12" t="s">
        <v>90</v>
      </c>
      <c r="AD31" s="12" t="s">
        <v>90</v>
      </c>
      <c r="AE31" s="12" t="s">
        <v>90</v>
      </c>
      <c r="AF31" s="12" t="s">
        <v>90</v>
      </c>
      <c r="AG31" s="12" t="s">
        <v>90</v>
      </c>
      <c r="AH31" s="12" t="s">
        <v>90</v>
      </c>
      <c r="AI31" s="12" t="s">
        <v>90</v>
      </c>
      <c r="AJ31" s="12" t="s">
        <v>90</v>
      </c>
      <c r="AK31" s="12" t="s">
        <v>90</v>
      </c>
      <c r="AL31" s="12" t="s">
        <v>90</v>
      </c>
      <c r="AM31" s="12" t="s">
        <v>90</v>
      </c>
      <c r="AN31" s="12" t="s">
        <v>90</v>
      </c>
      <c r="AO31" s="12" t="s">
        <v>96</v>
      </c>
      <c r="AP31" s="24" t="s">
        <v>41</v>
      </c>
      <c r="AQ31" s="31" t="s">
        <v>41</v>
      </c>
      <c r="AR31" s="31" t="s">
        <v>96</v>
      </c>
      <c r="AS31" s="31" t="s">
        <v>99</v>
      </c>
      <c r="AT31" s="24" t="s">
        <v>40</v>
      </c>
      <c r="AU31" s="24" t="s">
        <v>40</v>
      </c>
      <c r="AV31" s="27" t="s">
        <v>40</v>
      </c>
    </row>
    <row r="32" spans="1:52" x14ac:dyDescent="0.25">
      <c r="A32" s="6" t="s">
        <v>68</v>
      </c>
      <c r="B32" s="12" t="s">
        <v>214</v>
      </c>
      <c r="C32" s="12" t="s">
        <v>214</v>
      </c>
      <c r="D32" s="12" t="s">
        <v>214</v>
      </c>
      <c r="E32" s="12" t="s">
        <v>214</v>
      </c>
      <c r="F32" s="12" t="s">
        <v>214</v>
      </c>
      <c r="G32" s="12" t="s">
        <v>214</v>
      </c>
      <c r="H32" s="12" t="s">
        <v>214</v>
      </c>
      <c r="I32" s="12" t="s">
        <v>214</v>
      </c>
      <c r="J32" s="12" t="s">
        <v>214</v>
      </c>
      <c r="K32" s="12" t="s">
        <v>214</v>
      </c>
      <c r="L32" s="12" t="s">
        <v>214</v>
      </c>
      <c r="M32" s="12" t="s">
        <v>214</v>
      </c>
      <c r="N32" s="12" t="s">
        <v>214</v>
      </c>
      <c r="O32" s="12" t="s">
        <v>91</v>
      </c>
      <c r="P32" s="12" t="s">
        <v>91</v>
      </c>
      <c r="Q32" s="12" t="s">
        <v>91</v>
      </c>
      <c r="R32" s="12" t="s">
        <v>91</v>
      </c>
      <c r="S32" s="12" t="s">
        <v>91</v>
      </c>
      <c r="T32" s="12" t="s">
        <v>91</v>
      </c>
      <c r="U32" s="12" t="s">
        <v>91</v>
      </c>
      <c r="V32" s="12" t="s">
        <v>91</v>
      </c>
      <c r="W32" s="12" t="s">
        <v>91</v>
      </c>
      <c r="X32" s="12" t="s">
        <v>91</v>
      </c>
      <c r="Y32" s="12" t="s">
        <v>91</v>
      </c>
      <c r="Z32" s="12" t="s">
        <v>91</v>
      </c>
      <c r="AA32" s="12" t="s">
        <v>91</v>
      </c>
      <c r="AB32" s="12" t="s">
        <v>91</v>
      </c>
      <c r="AC32" s="12" t="s">
        <v>91</v>
      </c>
      <c r="AD32" s="12" t="s">
        <v>91</v>
      </c>
      <c r="AE32" s="12" t="s">
        <v>91</v>
      </c>
      <c r="AF32" s="12" t="s">
        <v>91</v>
      </c>
      <c r="AG32" s="12" t="s">
        <v>91</v>
      </c>
      <c r="AH32" s="12" t="s">
        <v>91</v>
      </c>
      <c r="AI32" s="12" t="s">
        <v>91</v>
      </c>
      <c r="AJ32" s="12" t="s">
        <v>91</v>
      </c>
      <c r="AK32" s="12" t="s">
        <v>91</v>
      </c>
      <c r="AL32" s="12" t="s">
        <v>91</v>
      </c>
      <c r="AM32" s="12" t="s">
        <v>91</v>
      </c>
      <c r="AN32" s="12" t="s">
        <v>91</v>
      </c>
      <c r="AO32" s="12" t="s">
        <v>42</v>
      </c>
      <c r="AP32" s="24" t="s">
        <v>42</v>
      </c>
      <c r="AQ32" s="24" t="s">
        <v>42</v>
      </c>
      <c r="AR32" s="24" t="s">
        <v>98</v>
      </c>
      <c r="AS32" s="13"/>
      <c r="AT32" s="12"/>
      <c r="AU32" s="12"/>
      <c r="AV32" s="14"/>
      <c r="AZ32" s="2"/>
    </row>
    <row r="33" spans="1:52" s="24" customFormat="1" ht="14.25" customHeight="1" x14ac:dyDescent="0.25">
      <c r="A33" s="6" t="s">
        <v>69</v>
      </c>
      <c r="B33" s="12" t="s">
        <v>32</v>
      </c>
      <c r="C33" s="12" t="s">
        <v>32</v>
      </c>
      <c r="D33" s="12" t="s">
        <v>32</v>
      </c>
      <c r="E33" s="12" t="s">
        <v>32</v>
      </c>
      <c r="F33" s="12" t="s">
        <v>32</v>
      </c>
      <c r="G33" s="12" t="s">
        <v>32</v>
      </c>
      <c r="H33" s="12" t="s">
        <v>32</v>
      </c>
      <c r="I33" s="12" t="s">
        <v>32</v>
      </c>
      <c r="J33" s="12" t="s">
        <v>32</v>
      </c>
      <c r="K33" s="12" t="s">
        <v>32</v>
      </c>
      <c r="L33" s="12" t="s">
        <v>32</v>
      </c>
      <c r="M33" s="12" t="s">
        <v>32</v>
      </c>
      <c r="N33" s="12" t="s">
        <v>32</v>
      </c>
      <c r="O33" s="12" t="s">
        <v>117</v>
      </c>
      <c r="P33" s="12" t="s">
        <v>117</v>
      </c>
      <c r="Q33" s="12" t="s">
        <v>117</v>
      </c>
      <c r="R33" s="12" t="s">
        <v>117</v>
      </c>
      <c r="S33" s="12" t="s">
        <v>117</v>
      </c>
      <c r="T33" s="12" t="s">
        <v>117</v>
      </c>
      <c r="U33" s="12" t="s">
        <v>117</v>
      </c>
      <c r="V33" s="12" t="s">
        <v>117</v>
      </c>
      <c r="W33" s="12" t="s">
        <v>117</v>
      </c>
      <c r="X33" s="12" t="s">
        <v>117</v>
      </c>
      <c r="Y33" s="12" t="s">
        <v>117</v>
      </c>
      <c r="Z33" s="12" t="s">
        <v>117</v>
      </c>
      <c r="AA33" s="12" t="s">
        <v>117</v>
      </c>
      <c r="AB33" s="12" t="s">
        <v>117</v>
      </c>
      <c r="AC33" s="12" t="s">
        <v>117</v>
      </c>
      <c r="AD33" s="12" t="s">
        <v>117</v>
      </c>
      <c r="AE33" s="12" t="s">
        <v>117</v>
      </c>
      <c r="AF33" s="12" t="s">
        <v>117</v>
      </c>
      <c r="AG33" s="12" t="s">
        <v>117</v>
      </c>
      <c r="AH33" s="12" t="s">
        <v>117</v>
      </c>
      <c r="AI33" s="12" t="s">
        <v>117</v>
      </c>
      <c r="AJ33" s="12" t="s">
        <v>117</v>
      </c>
      <c r="AK33" s="12" t="s">
        <v>117</v>
      </c>
      <c r="AL33" s="77" t="s">
        <v>117</v>
      </c>
      <c r="AM33" s="77" t="s">
        <v>115</v>
      </c>
      <c r="AN33" s="77" t="s">
        <v>92</v>
      </c>
      <c r="AO33" s="12" t="s">
        <v>40</v>
      </c>
      <c r="AP33" s="31" t="s">
        <v>96</v>
      </c>
      <c r="AQ33" s="24" t="s">
        <v>97</v>
      </c>
      <c r="AR33" s="24" t="s">
        <v>97</v>
      </c>
      <c r="AS33" s="13"/>
      <c r="AT33" s="12"/>
      <c r="AU33" s="12"/>
      <c r="AV33" s="14"/>
      <c r="AZ33" s="39"/>
    </row>
    <row r="34" spans="1:52" s="111" customFormat="1" x14ac:dyDescent="0.25">
      <c r="A34" s="109" t="s">
        <v>339</v>
      </c>
      <c r="B34" s="12" t="s">
        <v>212</v>
      </c>
      <c r="C34" s="12" t="s">
        <v>212</v>
      </c>
      <c r="D34" s="12" t="s">
        <v>212</v>
      </c>
      <c r="E34" s="12" t="s">
        <v>212</v>
      </c>
      <c r="F34" s="12" t="s">
        <v>212</v>
      </c>
      <c r="G34" s="12" t="s">
        <v>212</v>
      </c>
      <c r="H34" s="12" t="s">
        <v>212</v>
      </c>
      <c r="I34" s="82">
        <v>1.01</v>
      </c>
      <c r="J34" s="82">
        <v>0.9</v>
      </c>
      <c r="K34" s="82">
        <v>0.8</v>
      </c>
      <c r="L34" s="82">
        <v>0.7</v>
      </c>
      <c r="M34" s="82">
        <v>0.6</v>
      </c>
      <c r="N34" s="79" t="s">
        <v>335</v>
      </c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110"/>
    </row>
    <row r="35" spans="1:52" x14ac:dyDescent="0.25">
      <c r="A35" s="5" t="s">
        <v>15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20"/>
      <c r="AQ35" s="20"/>
      <c r="AR35" s="20"/>
      <c r="AS35" s="20"/>
      <c r="AT35" s="19"/>
      <c r="AU35" s="19"/>
      <c r="AV35" s="21"/>
      <c r="AZ35" s="37"/>
    </row>
    <row r="36" spans="1:52" x14ac:dyDescent="0.25">
      <c r="A36" s="6" t="s">
        <v>43</v>
      </c>
      <c r="B36" s="12" t="s">
        <v>93</v>
      </c>
      <c r="C36" s="12" t="s">
        <v>93</v>
      </c>
      <c r="D36" s="12" t="s">
        <v>93</v>
      </c>
      <c r="E36" s="12" t="s">
        <v>93</v>
      </c>
      <c r="F36" s="12" t="s">
        <v>93</v>
      </c>
      <c r="G36" s="12" t="s">
        <v>93</v>
      </c>
      <c r="H36" s="12" t="s">
        <v>93</v>
      </c>
      <c r="I36" s="12" t="s">
        <v>93</v>
      </c>
      <c r="J36" s="12" t="s">
        <v>93</v>
      </c>
      <c r="K36" s="12" t="s">
        <v>93</v>
      </c>
      <c r="L36" s="12" t="s">
        <v>93</v>
      </c>
      <c r="M36" s="12" t="s">
        <v>93</v>
      </c>
      <c r="N36" s="12" t="s">
        <v>93</v>
      </c>
      <c r="O36" s="12" t="s">
        <v>93</v>
      </c>
      <c r="P36" s="12" t="s">
        <v>93</v>
      </c>
      <c r="Q36" s="12" t="s">
        <v>93</v>
      </c>
      <c r="R36" s="12" t="s">
        <v>93</v>
      </c>
      <c r="S36" s="12" t="s">
        <v>93</v>
      </c>
      <c r="T36" s="12" t="s">
        <v>93</v>
      </c>
      <c r="U36" s="12" t="s">
        <v>93</v>
      </c>
      <c r="V36" s="12" t="s">
        <v>93</v>
      </c>
      <c r="W36" s="12" t="s">
        <v>93</v>
      </c>
      <c r="X36" s="12" t="s">
        <v>93</v>
      </c>
      <c r="Y36" s="12" t="s">
        <v>93</v>
      </c>
      <c r="Z36" s="12" t="s">
        <v>93</v>
      </c>
      <c r="AA36" s="12" t="s">
        <v>93</v>
      </c>
      <c r="AB36" s="12" t="s">
        <v>93</v>
      </c>
      <c r="AC36" s="12" t="s">
        <v>93</v>
      </c>
      <c r="AD36" s="12" t="s">
        <v>93</v>
      </c>
      <c r="AE36" s="12" t="s">
        <v>93</v>
      </c>
      <c r="AF36" s="12" t="s">
        <v>93</v>
      </c>
      <c r="AG36" s="12" t="s">
        <v>93</v>
      </c>
      <c r="AH36" s="12" t="s">
        <v>93</v>
      </c>
      <c r="AI36" s="12" t="s">
        <v>93</v>
      </c>
      <c r="AJ36" s="12" t="s">
        <v>93</v>
      </c>
      <c r="AK36" s="12" t="s">
        <v>93</v>
      </c>
      <c r="AL36" s="12" t="s">
        <v>93</v>
      </c>
      <c r="AM36" s="12" t="s">
        <v>93</v>
      </c>
      <c r="AN36" s="12" t="s">
        <v>93</v>
      </c>
      <c r="AO36" s="12" t="s">
        <v>44</v>
      </c>
      <c r="AP36" s="24" t="s">
        <v>44</v>
      </c>
      <c r="AQ36" s="24" t="s">
        <v>44</v>
      </c>
      <c r="AR36" s="24" t="s">
        <v>44</v>
      </c>
      <c r="AS36" s="24" t="s">
        <v>44</v>
      </c>
      <c r="AT36" s="24" t="s">
        <v>44</v>
      </c>
      <c r="AU36" s="24" t="s">
        <v>44</v>
      </c>
      <c r="AV36" s="27" t="s">
        <v>44</v>
      </c>
      <c r="AZ36" s="37"/>
    </row>
    <row r="37" spans="1:52" s="9" customFormat="1" x14ac:dyDescent="0.25">
      <c r="A37" s="114" t="s">
        <v>70</v>
      </c>
      <c r="B37" s="115">
        <f t="shared" ref="B37" si="0">B5/B6</f>
        <v>10000</v>
      </c>
      <c r="C37" s="115">
        <f>C5/C6</f>
        <v>10000</v>
      </c>
      <c r="D37" s="115">
        <f t="shared" ref="D37:AI37" si="1">D5/D6</f>
        <v>12500</v>
      </c>
      <c r="E37" s="115">
        <f t="shared" si="1"/>
        <v>13888.888888888889</v>
      </c>
      <c r="F37" s="115">
        <f t="shared" si="1"/>
        <v>13888.888888888889</v>
      </c>
      <c r="G37" s="115">
        <f t="shared" si="1"/>
        <v>13888.888888888889</v>
      </c>
      <c r="H37" s="115">
        <f t="shared" si="1"/>
        <v>13888.888888888889</v>
      </c>
      <c r="I37" s="115">
        <f t="shared" si="1"/>
        <v>13888.888888888889</v>
      </c>
      <c r="J37" s="115">
        <f t="shared" si="1"/>
        <v>13888.888888888889</v>
      </c>
      <c r="K37" s="115">
        <f t="shared" si="1"/>
        <v>13888.888888888889</v>
      </c>
      <c r="L37" s="115">
        <f t="shared" si="1"/>
        <v>13888.888888888889</v>
      </c>
      <c r="M37" s="115">
        <f t="shared" si="1"/>
        <v>13888.888888888889</v>
      </c>
      <c r="N37" s="115">
        <f t="shared" si="1"/>
        <v>13888.888888888889</v>
      </c>
      <c r="O37" s="115">
        <f t="shared" si="1"/>
        <v>13888.888888888889</v>
      </c>
      <c r="P37" s="115">
        <f t="shared" si="1"/>
        <v>13888.888888888889</v>
      </c>
      <c r="Q37" s="115">
        <f t="shared" si="1"/>
        <v>13888.888888888889</v>
      </c>
      <c r="R37" s="115">
        <f t="shared" si="1"/>
        <v>13888.888888888889</v>
      </c>
      <c r="S37" s="115">
        <f t="shared" si="1"/>
        <v>13888.888888888889</v>
      </c>
      <c r="T37" s="115">
        <f t="shared" si="1"/>
        <v>13888.888888888889</v>
      </c>
      <c r="U37" s="115">
        <f t="shared" si="1"/>
        <v>13888.888888888889</v>
      </c>
      <c r="V37" s="115">
        <f t="shared" si="1"/>
        <v>13333.333333333334</v>
      </c>
      <c r="W37" s="115">
        <f t="shared" si="1"/>
        <v>13333.333333333334</v>
      </c>
      <c r="X37" s="115">
        <f t="shared" si="1"/>
        <v>13333.333333333334</v>
      </c>
      <c r="Y37" s="115">
        <f t="shared" si="1"/>
        <v>14705.882352941177</v>
      </c>
      <c r="Z37" s="115">
        <f t="shared" si="1"/>
        <v>13333.333333333334</v>
      </c>
      <c r="AA37" s="115">
        <f t="shared" si="1"/>
        <v>13333.333333333334</v>
      </c>
      <c r="AB37" s="115">
        <f t="shared" si="1"/>
        <v>10000</v>
      </c>
      <c r="AC37" s="115">
        <f t="shared" si="1"/>
        <v>8333.3333333333339</v>
      </c>
      <c r="AD37" s="115">
        <f t="shared" si="1"/>
        <v>10000</v>
      </c>
      <c r="AE37" s="115">
        <f t="shared" si="1"/>
        <v>14285.714285714286</v>
      </c>
      <c r="AF37" s="115">
        <f t="shared" si="1"/>
        <v>14285.714285714286</v>
      </c>
      <c r="AG37" s="115">
        <f t="shared" si="1"/>
        <v>13333.333333333334</v>
      </c>
      <c r="AH37" s="115">
        <f t="shared" si="1"/>
        <v>13333.333333333334</v>
      </c>
      <c r="AI37" s="115">
        <f t="shared" si="1"/>
        <v>13333.333333333334</v>
      </c>
      <c r="AJ37" s="115" t="s">
        <v>94</v>
      </c>
      <c r="AK37" s="115" t="s">
        <v>94</v>
      </c>
      <c r="AL37" s="115" t="s">
        <v>94</v>
      </c>
      <c r="AM37" s="115" t="s">
        <v>94</v>
      </c>
      <c r="AN37" s="115" t="s">
        <v>94</v>
      </c>
      <c r="AO37" s="115" t="s">
        <v>45</v>
      </c>
      <c r="AP37" s="116" t="s">
        <v>45</v>
      </c>
      <c r="AQ37" s="116" t="s">
        <v>45</v>
      </c>
      <c r="AR37" s="116" t="s">
        <v>45</v>
      </c>
      <c r="AS37" s="116" t="s">
        <v>45</v>
      </c>
      <c r="AT37" s="116" t="s">
        <v>102</v>
      </c>
      <c r="AU37" s="116" t="s">
        <v>106</v>
      </c>
      <c r="AV37" s="117" t="s">
        <v>106</v>
      </c>
    </row>
    <row r="38" spans="1:52" x14ac:dyDescent="0.25">
      <c r="A38" s="5" t="s">
        <v>16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20"/>
      <c r="AQ38" s="20"/>
      <c r="AR38" s="20"/>
      <c r="AS38" s="20"/>
      <c r="AT38" s="19"/>
      <c r="AU38" s="19"/>
      <c r="AV38" s="21"/>
      <c r="AZ38" s="37"/>
    </row>
    <row r="39" spans="1:52" x14ac:dyDescent="0.25">
      <c r="A39" s="6" t="s">
        <v>47</v>
      </c>
      <c r="B39" s="71">
        <v>0.41520000000000001</v>
      </c>
      <c r="C39" s="62">
        <v>0.40570000000000001</v>
      </c>
      <c r="D39" s="71">
        <v>0.48670000000000002</v>
      </c>
      <c r="E39" s="71">
        <v>0.52180000000000004</v>
      </c>
      <c r="F39" s="71">
        <v>0.2041</v>
      </c>
      <c r="G39" s="71">
        <v>0.45779999999999998</v>
      </c>
      <c r="H39" s="71">
        <v>0.433</v>
      </c>
      <c r="I39" s="71">
        <v>0.44650000000000001</v>
      </c>
      <c r="J39" s="71">
        <v>0.41830000000000001</v>
      </c>
      <c r="K39" s="71">
        <v>0.40550000000000003</v>
      </c>
      <c r="L39" s="71">
        <v>0.40889999999999999</v>
      </c>
      <c r="M39" s="71">
        <v>0.36509999999999998</v>
      </c>
      <c r="N39" s="71">
        <v>0.3231</v>
      </c>
      <c r="O39" s="71">
        <v>0.29220000000000002</v>
      </c>
      <c r="P39" s="71">
        <v>0.42749999999999999</v>
      </c>
      <c r="Q39" s="71">
        <v>0.42930000000000001</v>
      </c>
      <c r="R39" s="71">
        <v>0.32719999999999999</v>
      </c>
      <c r="S39" s="71">
        <v>0.2369</v>
      </c>
      <c r="T39" s="71">
        <v>0.43540000000000001</v>
      </c>
      <c r="U39" s="62">
        <v>0.44650000000000001</v>
      </c>
      <c r="V39" s="71">
        <v>0.42830000000000001</v>
      </c>
      <c r="W39" s="71">
        <v>0.42830000000000001</v>
      </c>
      <c r="X39" s="71">
        <v>0.42759999999999998</v>
      </c>
      <c r="Y39" s="71">
        <v>0.41749999999999998</v>
      </c>
      <c r="Z39" s="71">
        <v>0.39829999999999999</v>
      </c>
      <c r="AA39" s="71">
        <v>0.43020000000000003</v>
      </c>
      <c r="AB39" s="38">
        <v>0.37919999999999998</v>
      </c>
      <c r="AC39" s="38">
        <v>0.32440000000000002</v>
      </c>
      <c r="AD39" s="38">
        <v>0.40289999999999998</v>
      </c>
      <c r="AE39" s="38">
        <v>0.47149999999999997</v>
      </c>
      <c r="AF39" s="38">
        <v>0.43819999999999998</v>
      </c>
      <c r="AG39" s="38">
        <v>0.45219999999999999</v>
      </c>
      <c r="AH39" s="38">
        <v>0.44919999999999999</v>
      </c>
      <c r="AI39" s="38">
        <v>0.45100000000000001</v>
      </c>
      <c r="AJ39" s="38">
        <v>0.39729999999999999</v>
      </c>
      <c r="AK39" s="38">
        <v>0.44340000000000002</v>
      </c>
      <c r="AL39" s="38">
        <v>0.4365</v>
      </c>
      <c r="AM39" s="38">
        <v>0.44080000000000003</v>
      </c>
      <c r="AN39" s="38">
        <v>0.44569999999999999</v>
      </c>
      <c r="AO39" s="38">
        <v>0.12559999999999999</v>
      </c>
      <c r="AP39" s="38">
        <v>0.32229999999999998</v>
      </c>
      <c r="AQ39" s="38">
        <v>0.44080000000000003</v>
      </c>
      <c r="AR39" s="38">
        <v>0.41189999999999999</v>
      </c>
      <c r="AS39" s="38">
        <v>0.38269999999999998</v>
      </c>
      <c r="AT39" s="38">
        <v>0.29480000000000001</v>
      </c>
      <c r="AU39" s="38">
        <v>0.49299999999999999</v>
      </c>
      <c r="AV39" s="38">
        <v>0.43859999999999999</v>
      </c>
      <c r="AZ39" s="37"/>
    </row>
    <row r="40" spans="1:52" x14ac:dyDescent="0.25">
      <c r="A40" s="6" t="s">
        <v>48</v>
      </c>
      <c r="B40" s="72">
        <v>5927679.4500000002</v>
      </c>
      <c r="C40" s="63">
        <v>5710614.9900000002</v>
      </c>
      <c r="D40" s="72">
        <v>8196761.1100000003</v>
      </c>
      <c r="E40" s="72">
        <v>9455392.1300000008</v>
      </c>
      <c r="F40" s="72">
        <v>1822270.27</v>
      </c>
      <c r="G40" s="72">
        <v>7535771.1500000004</v>
      </c>
      <c r="H40" s="72">
        <v>6755788.4299999997</v>
      </c>
      <c r="I40" s="72">
        <v>7142321.0999999996</v>
      </c>
      <c r="J40" s="72">
        <v>6668809.3300000001</v>
      </c>
      <c r="K40" s="72">
        <v>6273918.9299999997</v>
      </c>
      <c r="L40" s="72">
        <v>6375410.6600000001</v>
      </c>
      <c r="M40" s="72">
        <v>5134548.5599999996</v>
      </c>
      <c r="N40" s="72">
        <v>4113071.34</v>
      </c>
      <c r="O40" s="72">
        <v>3147521.38</v>
      </c>
      <c r="P40" s="72">
        <v>6446433.7199999997</v>
      </c>
      <c r="Q40" s="72">
        <v>6596583</v>
      </c>
      <c r="R40" s="72">
        <v>3914010.44</v>
      </c>
      <c r="S40" s="72">
        <v>2310264.46</v>
      </c>
      <c r="T40" s="72">
        <v>6576200.3399999999</v>
      </c>
      <c r="U40" s="63">
        <v>7147979.9199999999</v>
      </c>
      <c r="V40" s="72">
        <v>6634489.0599999996</v>
      </c>
      <c r="W40" s="72">
        <v>6634489.0599999996</v>
      </c>
      <c r="X40" s="72">
        <v>6500038.7199999997</v>
      </c>
      <c r="Y40" s="72">
        <v>6264428.3799999999</v>
      </c>
      <c r="Z40" s="72">
        <v>5694786.4000000004</v>
      </c>
      <c r="AA40" s="72">
        <v>6635579.1399999997</v>
      </c>
      <c r="AB40" s="15">
        <v>5062388.08</v>
      </c>
      <c r="AC40" s="15">
        <v>3777372.4</v>
      </c>
      <c r="AD40" s="15">
        <v>5626132.0999999996</v>
      </c>
      <c r="AE40" s="15">
        <v>7235123.4400000004</v>
      </c>
      <c r="AF40" s="15">
        <v>6917179.1799999997</v>
      </c>
      <c r="AG40" s="15">
        <v>7350579.3200000003</v>
      </c>
      <c r="AH40" s="15">
        <v>7255712.7199999997</v>
      </c>
      <c r="AI40" s="15">
        <v>7313006.9400000004</v>
      </c>
      <c r="AJ40" s="15">
        <v>5540325.54</v>
      </c>
      <c r="AK40" s="15">
        <v>7092917.0599999996</v>
      </c>
      <c r="AL40" s="15">
        <v>6721740.1799999997</v>
      </c>
      <c r="AM40" s="15">
        <v>6851955.7800000003</v>
      </c>
      <c r="AN40" s="15">
        <v>7014402.2199999997</v>
      </c>
      <c r="AO40" s="15">
        <v>7660536.4199999999</v>
      </c>
      <c r="AP40" s="15">
        <v>3732363.8</v>
      </c>
      <c r="AQ40" s="15">
        <v>6851955.7800000003</v>
      </c>
      <c r="AR40" s="15">
        <v>5971254.5099999998</v>
      </c>
      <c r="AS40" s="15">
        <v>5177631.32</v>
      </c>
      <c r="AT40" s="15">
        <v>3220479.93</v>
      </c>
      <c r="AU40" s="15">
        <v>914716.76</v>
      </c>
      <c r="AV40" s="15" t="s">
        <v>155</v>
      </c>
      <c r="AW40" s="9"/>
      <c r="AZ40" s="37"/>
    </row>
    <row r="41" spans="1:52" x14ac:dyDescent="0.25">
      <c r="A41" s="6" t="s">
        <v>49</v>
      </c>
      <c r="B41" s="73" t="s">
        <v>202</v>
      </c>
      <c r="C41" s="64" t="s">
        <v>1317</v>
      </c>
      <c r="D41" s="73" t="s">
        <v>1316</v>
      </c>
      <c r="E41" s="73" t="s">
        <v>1315</v>
      </c>
      <c r="F41" s="73" t="s">
        <v>1314</v>
      </c>
      <c r="G41" s="73" t="s">
        <v>1313</v>
      </c>
      <c r="H41" s="73" t="s">
        <v>1312</v>
      </c>
      <c r="I41" s="73" t="s">
        <v>1311</v>
      </c>
      <c r="J41" s="73" t="s">
        <v>1310</v>
      </c>
      <c r="K41" s="73" t="s">
        <v>1201</v>
      </c>
      <c r="L41" s="73" t="s">
        <v>1198</v>
      </c>
      <c r="M41" s="73" t="s">
        <v>1197</v>
      </c>
      <c r="N41" s="73" t="s">
        <v>336</v>
      </c>
      <c r="O41" s="73" t="s">
        <v>231</v>
      </c>
      <c r="P41" s="73" t="s">
        <v>207</v>
      </c>
      <c r="Q41" s="73" t="s">
        <v>228</v>
      </c>
      <c r="R41" s="73" t="s">
        <v>224</v>
      </c>
      <c r="S41" s="73" t="s">
        <v>221</v>
      </c>
      <c r="T41" s="73" t="s">
        <v>218</v>
      </c>
      <c r="U41" s="64" t="s">
        <v>215</v>
      </c>
      <c r="V41" s="73" t="s">
        <v>209</v>
      </c>
      <c r="W41" s="73" t="s">
        <v>209</v>
      </c>
      <c r="X41" s="73" t="s">
        <v>207</v>
      </c>
      <c r="Y41" s="73" t="s">
        <v>202</v>
      </c>
      <c r="Z41" s="73" t="s">
        <v>172</v>
      </c>
      <c r="AA41" s="73" t="s">
        <v>144</v>
      </c>
      <c r="AB41" s="12" t="s">
        <v>168</v>
      </c>
      <c r="AC41" s="12" t="s">
        <v>166</v>
      </c>
      <c r="AD41" s="12" t="s">
        <v>163</v>
      </c>
      <c r="AE41" s="12" t="s">
        <v>150</v>
      </c>
      <c r="AF41" s="12" t="s">
        <v>147</v>
      </c>
      <c r="AG41" s="12" t="s">
        <v>141</v>
      </c>
      <c r="AH41" s="12" t="s">
        <v>139</v>
      </c>
      <c r="AI41" s="12" t="s">
        <v>127</v>
      </c>
      <c r="AJ41" s="12" t="s">
        <v>124</v>
      </c>
      <c r="AK41" s="12" t="s">
        <v>120</v>
      </c>
      <c r="AL41" s="12" t="s">
        <v>156</v>
      </c>
      <c r="AM41" s="12" t="s">
        <v>157</v>
      </c>
      <c r="AN41" s="12" t="s">
        <v>95</v>
      </c>
      <c r="AO41" s="12" t="s">
        <v>158</v>
      </c>
      <c r="AP41" s="12" t="s">
        <v>159</v>
      </c>
      <c r="AQ41" s="12" t="s">
        <v>160</v>
      </c>
      <c r="AR41" s="12" t="s">
        <v>161</v>
      </c>
      <c r="AS41" s="12" t="s">
        <v>162</v>
      </c>
      <c r="AT41" s="12"/>
      <c r="AU41" s="12"/>
      <c r="AV41" s="12"/>
    </row>
    <row r="42" spans="1:52" s="41" customFormat="1" x14ac:dyDescent="0.25">
      <c r="A42" s="40" t="s">
        <v>50</v>
      </c>
      <c r="B42" s="74">
        <v>100</v>
      </c>
      <c r="C42" s="65">
        <v>99</v>
      </c>
      <c r="D42" s="74">
        <v>80</v>
      </c>
      <c r="E42" s="74">
        <v>72</v>
      </c>
      <c r="F42" s="74">
        <v>47</v>
      </c>
      <c r="G42" s="74">
        <v>72</v>
      </c>
      <c r="H42" s="74">
        <v>71</v>
      </c>
      <c r="I42" s="74">
        <v>72</v>
      </c>
      <c r="J42" s="74">
        <v>57</v>
      </c>
      <c r="K42" s="74">
        <v>47</v>
      </c>
      <c r="L42" s="74" t="s">
        <v>1199</v>
      </c>
      <c r="M42" s="74">
        <v>40</v>
      </c>
      <c r="N42" s="74" t="s">
        <v>337</v>
      </c>
      <c r="O42" s="74">
        <v>50</v>
      </c>
      <c r="P42" s="74">
        <v>72</v>
      </c>
      <c r="Q42" s="74" t="s">
        <v>211</v>
      </c>
      <c r="R42" s="74" t="s">
        <v>225</v>
      </c>
      <c r="S42" s="74">
        <v>52</v>
      </c>
      <c r="T42" s="74">
        <v>72</v>
      </c>
      <c r="U42" s="65" t="s">
        <v>211</v>
      </c>
      <c r="V42" s="74">
        <v>72</v>
      </c>
      <c r="W42" s="74">
        <v>72</v>
      </c>
      <c r="X42" s="74">
        <v>71</v>
      </c>
      <c r="Y42" s="74">
        <v>67</v>
      </c>
      <c r="Z42" s="74">
        <v>69</v>
      </c>
      <c r="AA42" s="74">
        <v>72</v>
      </c>
      <c r="AB42" s="32" t="s">
        <v>169</v>
      </c>
      <c r="AC42" s="32">
        <v>101</v>
      </c>
      <c r="AD42" s="32">
        <v>100</v>
      </c>
      <c r="AE42" s="32" t="s">
        <v>151</v>
      </c>
      <c r="AF42" s="32">
        <v>70</v>
      </c>
      <c r="AG42" s="32" t="s">
        <v>142</v>
      </c>
      <c r="AH42" s="32">
        <v>74</v>
      </c>
      <c r="AI42" s="32">
        <v>74</v>
      </c>
      <c r="AJ42" s="32">
        <v>68</v>
      </c>
      <c r="AK42" s="32" t="s">
        <v>121</v>
      </c>
      <c r="AL42" s="32" t="s">
        <v>71</v>
      </c>
      <c r="AM42" s="32" t="s">
        <v>71</v>
      </c>
      <c r="AN42" s="32" t="s">
        <v>71</v>
      </c>
      <c r="AO42" s="32" t="s">
        <v>71</v>
      </c>
      <c r="AP42" s="32" t="s">
        <v>71</v>
      </c>
      <c r="AQ42" s="32" t="s">
        <v>71</v>
      </c>
      <c r="AR42" s="32" t="s">
        <v>71</v>
      </c>
      <c r="AS42" s="32" t="s">
        <v>71</v>
      </c>
      <c r="AT42" s="32"/>
      <c r="AU42" s="32"/>
      <c r="AV42" s="32"/>
    </row>
    <row r="43" spans="1:52" s="41" customFormat="1" x14ac:dyDescent="0.25">
      <c r="A43" s="40" t="s">
        <v>122</v>
      </c>
      <c r="B43" s="74">
        <v>615</v>
      </c>
      <c r="C43" s="65">
        <v>584</v>
      </c>
      <c r="D43" s="74">
        <v>562</v>
      </c>
      <c r="E43" s="74">
        <v>546</v>
      </c>
      <c r="F43" s="74">
        <v>240</v>
      </c>
      <c r="G43" s="74">
        <v>474</v>
      </c>
      <c r="H43" s="74">
        <v>420</v>
      </c>
      <c r="I43" s="74">
        <v>452</v>
      </c>
      <c r="J43" s="74">
        <v>491</v>
      </c>
      <c r="K43" s="74">
        <v>508</v>
      </c>
      <c r="L43" s="74" t="s">
        <v>1200</v>
      </c>
      <c r="M43" s="74">
        <v>557</v>
      </c>
      <c r="N43" s="74" t="s">
        <v>338</v>
      </c>
      <c r="O43" s="74">
        <v>264</v>
      </c>
      <c r="P43" s="74">
        <v>551</v>
      </c>
      <c r="Q43" s="74" t="s">
        <v>229</v>
      </c>
      <c r="R43" s="74" t="s">
        <v>226</v>
      </c>
      <c r="S43" s="74">
        <v>257</v>
      </c>
      <c r="T43" s="74">
        <v>488</v>
      </c>
      <c r="U43" s="65" t="s">
        <v>216</v>
      </c>
      <c r="V43" s="74">
        <v>453</v>
      </c>
      <c r="W43" s="74">
        <v>453</v>
      </c>
      <c r="X43" s="74">
        <v>450</v>
      </c>
      <c r="Y43" s="74">
        <v>403</v>
      </c>
      <c r="Z43" s="74">
        <v>435</v>
      </c>
      <c r="AA43" s="74">
        <v>452</v>
      </c>
      <c r="AB43" s="32" t="s">
        <v>170</v>
      </c>
      <c r="AC43" s="32">
        <v>561</v>
      </c>
      <c r="AD43" s="32">
        <v>576</v>
      </c>
      <c r="AE43" s="32" t="s">
        <v>152</v>
      </c>
      <c r="AF43" s="32">
        <v>420</v>
      </c>
      <c r="AG43" s="32" t="s">
        <v>143</v>
      </c>
      <c r="AH43" s="32">
        <v>472</v>
      </c>
      <c r="AI43" s="32">
        <v>483</v>
      </c>
      <c r="AJ43" s="32">
        <v>453</v>
      </c>
      <c r="AK43" s="32" t="s">
        <v>123</v>
      </c>
      <c r="AL43" s="32">
        <v>509</v>
      </c>
      <c r="AM43" s="32">
        <v>532</v>
      </c>
      <c r="AN43" s="32">
        <v>532</v>
      </c>
      <c r="AO43" s="32">
        <v>605</v>
      </c>
      <c r="AP43" s="32">
        <v>584</v>
      </c>
      <c r="AQ43" s="32">
        <v>532</v>
      </c>
      <c r="AR43" s="32">
        <v>521</v>
      </c>
      <c r="AS43" s="32">
        <v>509</v>
      </c>
      <c r="AT43" s="32">
        <v>422</v>
      </c>
      <c r="AU43" s="32">
        <v>142</v>
      </c>
      <c r="AV43" s="32">
        <v>40</v>
      </c>
    </row>
    <row r="44" spans="1:52" s="61" customFormat="1" x14ac:dyDescent="0.25">
      <c r="A44" s="60" t="s">
        <v>51</v>
      </c>
      <c r="B44" s="75">
        <v>-0.27439999999999998</v>
      </c>
      <c r="C44" s="66">
        <v>-0.25359999999999999</v>
      </c>
      <c r="D44" s="75">
        <v>-0.30819999999999997</v>
      </c>
      <c r="E44" s="75">
        <v>-0.34129999999999999</v>
      </c>
      <c r="F44" s="75">
        <v>-0.26569999999999999</v>
      </c>
      <c r="G44" s="75">
        <v>-0.32079999999999997</v>
      </c>
      <c r="H44" s="75">
        <v>-0.31390000000000001</v>
      </c>
      <c r="I44" s="75">
        <v>-0.3039</v>
      </c>
      <c r="J44" s="75">
        <v>-0.37040000000000001</v>
      </c>
      <c r="K44" s="75">
        <v>-0.3785</v>
      </c>
      <c r="L44" s="75">
        <v>-0.39879999999999999</v>
      </c>
      <c r="M44" s="75">
        <v>-0.38340000000000002</v>
      </c>
      <c r="N44" s="75">
        <v>-0.33379999999999999</v>
      </c>
      <c r="O44" s="75">
        <v>-0.252</v>
      </c>
      <c r="P44" s="75">
        <v>-0.42820000000000003</v>
      </c>
      <c r="Q44" s="75">
        <v>-0.2949</v>
      </c>
      <c r="R44" s="75">
        <v>-0.35089999999999999</v>
      </c>
      <c r="S44" s="75">
        <v>-0.27089999999999997</v>
      </c>
      <c r="T44" s="75">
        <v>-0.3574</v>
      </c>
      <c r="U44" s="66">
        <v>-0.3039</v>
      </c>
      <c r="V44" s="75">
        <v>-0.29389999999999999</v>
      </c>
      <c r="W44" s="75">
        <v>-0.29389999999999999</v>
      </c>
      <c r="X44" s="75">
        <v>-0.29759999999999998</v>
      </c>
      <c r="Y44" s="75">
        <v>-0.30730000000000002</v>
      </c>
      <c r="Z44" s="75">
        <v>-0.2918</v>
      </c>
      <c r="AA44" s="75">
        <v>-0.29320000000000002</v>
      </c>
      <c r="AB44" s="58">
        <v>-0.29520000000000002</v>
      </c>
      <c r="AC44" s="58">
        <v>-0.25600000000000001</v>
      </c>
      <c r="AD44" s="58">
        <v>-0.33360000000000001</v>
      </c>
      <c r="AE44" s="58">
        <v>-0.40250000000000002</v>
      </c>
      <c r="AF44" s="58">
        <v>-0.32169999999999999</v>
      </c>
      <c r="AG44" s="58">
        <v>-0.3216</v>
      </c>
      <c r="AH44" s="58">
        <v>-0.33339999999999997</v>
      </c>
      <c r="AI44" s="58">
        <v>-0.3412</v>
      </c>
      <c r="AJ44" s="58">
        <v>-0.38550000000000001</v>
      </c>
      <c r="AK44" s="58">
        <v>-0.33179999999999998</v>
      </c>
      <c r="AL44" s="58">
        <v>-0.3674</v>
      </c>
      <c r="AM44" s="58">
        <v>-0.3952</v>
      </c>
      <c r="AN44" s="58">
        <v>-0.38269999999999998</v>
      </c>
      <c r="AO44" s="58">
        <v>-0.49049999999999999</v>
      </c>
      <c r="AP44" s="58">
        <v>-0.49220000000000003</v>
      </c>
      <c r="AQ44" s="58">
        <v>-0.3952</v>
      </c>
      <c r="AR44" s="58">
        <v>-0.48959999999999998</v>
      </c>
      <c r="AS44" s="58">
        <v>-0.57569999999999999</v>
      </c>
      <c r="AT44" s="58"/>
      <c r="AU44" s="58"/>
      <c r="AV44" s="58"/>
    </row>
    <row r="45" spans="1:52" x14ac:dyDescent="0.25">
      <c r="A45" s="1" t="s">
        <v>154</v>
      </c>
      <c r="B45" s="76">
        <f t="shared" ref="B45:Y45" si="2">B39/-B44</f>
        <v>1.513119533527697</v>
      </c>
      <c r="C45" s="67">
        <f t="shared" si="2"/>
        <v>1.5997634069400632</v>
      </c>
      <c r="D45" s="76">
        <f t="shared" si="2"/>
        <v>1.5791693705386114</v>
      </c>
      <c r="E45" s="76">
        <f t="shared" si="2"/>
        <v>1.5288602402578377</v>
      </c>
      <c r="F45" s="76">
        <f t="shared" si="2"/>
        <v>0.76815957847196092</v>
      </c>
      <c r="G45" s="76">
        <f t="shared" si="2"/>
        <v>1.4270573566084788</v>
      </c>
      <c r="H45" s="76">
        <f t="shared" si="2"/>
        <v>1.3794201975151321</v>
      </c>
      <c r="I45" s="76">
        <f t="shared" si="2"/>
        <v>1.4692333004277722</v>
      </c>
      <c r="J45" s="76">
        <f t="shared" si="2"/>
        <v>1.1293196544276458</v>
      </c>
      <c r="K45" s="76">
        <f t="shared" si="2"/>
        <v>1.0713342140026421</v>
      </c>
      <c r="L45" s="76">
        <f t="shared" si="2"/>
        <v>1.0253259779338013</v>
      </c>
      <c r="M45" s="76">
        <f t="shared" si="2"/>
        <v>0.9522691705790296</v>
      </c>
      <c r="N45" s="76">
        <f t="shared" si="2"/>
        <v>0.96794487717195932</v>
      </c>
      <c r="O45" s="76">
        <f t="shared" si="2"/>
        <v>1.1595238095238096</v>
      </c>
      <c r="P45" s="76">
        <f t="shared" si="2"/>
        <v>0.99836524988323205</v>
      </c>
      <c r="Q45" s="76">
        <f t="shared" si="2"/>
        <v>1.4557477110885046</v>
      </c>
      <c r="R45" s="76">
        <f t="shared" si="2"/>
        <v>0.93245939013964096</v>
      </c>
      <c r="S45" s="76">
        <f t="shared" si="2"/>
        <v>0.87449243263196763</v>
      </c>
      <c r="T45" s="76">
        <f t="shared" si="2"/>
        <v>1.2182428651371013</v>
      </c>
      <c r="U45" s="67">
        <f t="shared" si="2"/>
        <v>1.4692333004277722</v>
      </c>
      <c r="V45" s="76">
        <f t="shared" si="2"/>
        <v>1.4572984008166043</v>
      </c>
      <c r="W45" s="76">
        <f t="shared" si="2"/>
        <v>1.4572984008166043</v>
      </c>
      <c r="X45" s="76">
        <f t="shared" si="2"/>
        <v>1.4368279569892473</v>
      </c>
      <c r="Y45" s="76">
        <f t="shared" si="2"/>
        <v>1.3586072242108687</v>
      </c>
      <c r="Z45" s="76">
        <v>1.3649760109664153</v>
      </c>
      <c r="AA45" s="76">
        <f>AA39/-AA44</f>
        <v>1.4672578444747613</v>
      </c>
      <c r="AB45" s="56">
        <f>AB39/-AB44</f>
        <v>1.2845528455284552</v>
      </c>
      <c r="AC45" s="56">
        <f>AC39/-AC44</f>
        <v>1.2671875000000001</v>
      </c>
      <c r="AD45" s="56">
        <f>AD39/-AD44</f>
        <v>1.2077338129496402</v>
      </c>
      <c r="AE45" s="56">
        <f t="shared" ref="AE45:AS45" si="3">AE39/-AE44</f>
        <v>1.1714285714285713</v>
      </c>
      <c r="AF45" s="56">
        <f t="shared" si="3"/>
        <v>1.3621386384830587</v>
      </c>
      <c r="AG45" s="56">
        <f t="shared" si="3"/>
        <v>1.406094527363184</v>
      </c>
      <c r="AH45" s="56">
        <f t="shared" si="3"/>
        <v>1.3473305338932213</v>
      </c>
      <c r="AI45" s="56">
        <f t="shared" si="3"/>
        <v>1.3218053927315359</v>
      </c>
      <c r="AJ45" s="56">
        <f t="shared" si="3"/>
        <v>1.0306095979247729</v>
      </c>
      <c r="AK45" s="56">
        <f t="shared" si="3"/>
        <v>1.3363471971066909</v>
      </c>
      <c r="AL45" s="56">
        <f t="shared" si="3"/>
        <v>1.1880783886771911</v>
      </c>
      <c r="AM45" s="56">
        <f t="shared" si="3"/>
        <v>1.1153846153846154</v>
      </c>
      <c r="AN45" s="56">
        <f t="shared" si="3"/>
        <v>1.1646198066370526</v>
      </c>
      <c r="AO45" s="56">
        <f t="shared" si="3"/>
        <v>0.25606523955147809</v>
      </c>
      <c r="AP45" s="56">
        <f t="shared" si="3"/>
        <v>0.65481511580658258</v>
      </c>
      <c r="AQ45" s="56">
        <f t="shared" si="3"/>
        <v>1.1153846153846154</v>
      </c>
      <c r="AR45" s="56">
        <f t="shared" si="3"/>
        <v>0.84129901960784315</v>
      </c>
      <c r="AS45" s="56">
        <f t="shared" si="3"/>
        <v>0.66475594927913839</v>
      </c>
      <c r="AT45" s="56"/>
      <c r="AU45" s="56"/>
      <c r="AV45" s="56"/>
    </row>
    <row r="47" spans="1:52" x14ac:dyDescent="0.25">
      <c r="B47" s="37">
        <f t="shared" ref="B47:R47" si="4">(B40/1000000) ^ 1/6</f>
        <v>0.98794657500000005</v>
      </c>
      <c r="C47" s="37">
        <f t="shared" si="4"/>
        <v>0.95176916499999997</v>
      </c>
      <c r="D47" s="37">
        <f t="shared" si="4"/>
        <v>1.3661268516666667</v>
      </c>
      <c r="E47" s="37">
        <f t="shared" si="4"/>
        <v>1.5758986883333337</v>
      </c>
      <c r="F47" s="37">
        <f t="shared" si="4"/>
        <v>0.30371171166666666</v>
      </c>
      <c r="G47" s="37">
        <f t="shared" si="4"/>
        <v>1.2559618583333334</v>
      </c>
      <c r="H47" s="37">
        <f t="shared" si="4"/>
        <v>1.1259647383333333</v>
      </c>
      <c r="I47" s="37">
        <f>(I40/1000000) ^ 1/6</f>
        <v>1.1903868499999999</v>
      </c>
      <c r="J47" s="37">
        <f t="shared" si="4"/>
        <v>1.1114682216666667</v>
      </c>
      <c r="K47" s="37">
        <f t="shared" si="4"/>
        <v>1.0456531549999999</v>
      </c>
      <c r="L47" s="37">
        <f t="shared" si="4"/>
        <v>1.0625684433333333</v>
      </c>
      <c r="M47" s="37">
        <f t="shared" si="4"/>
        <v>0.8557580933333333</v>
      </c>
      <c r="N47" s="37">
        <f t="shared" si="4"/>
        <v>0.6855118899999999</v>
      </c>
      <c r="O47" s="37">
        <f t="shared" si="4"/>
        <v>0.52458689666666658</v>
      </c>
      <c r="P47" s="37">
        <f t="shared" si="4"/>
        <v>1.0744056200000001</v>
      </c>
      <c r="Q47" s="37">
        <f t="shared" si="4"/>
        <v>1.0994305</v>
      </c>
      <c r="R47" s="37">
        <f t="shared" si="4"/>
        <v>0.65233507333333329</v>
      </c>
    </row>
    <row r="48" spans="1:52" x14ac:dyDescent="0.25">
      <c r="F48" s="2"/>
      <c r="G48" s="2"/>
      <c r="H48" s="2"/>
      <c r="I48" s="2"/>
      <c r="J48" s="2"/>
      <c r="K48" s="2"/>
      <c r="M48" s="37"/>
    </row>
    <row r="49" spans="2:51" x14ac:dyDescent="0.25">
      <c r="B49" s="113">
        <f t="shared" ref="B49:H49" si="5">B40+1000000</f>
        <v>6927679.4500000002</v>
      </c>
      <c r="C49" s="113">
        <f t="shared" si="5"/>
        <v>6710614.9900000002</v>
      </c>
      <c r="D49" s="113">
        <f t="shared" si="5"/>
        <v>9196761.1099999994</v>
      </c>
      <c r="E49" s="113">
        <f t="shared" si="5"/>
        <v>10455392.130000001</v>
      </c>
      <c r="F49" s="113">
        <f t="shared" si="5"/>
        <v>2822270.27</v>
      </c>
      <c r="G49" s="113">
        <f t="shared" si="5"/>
        <v>8535771.1500000004</v>
      </c>
      <c r="H49" s="113">
        <f t="shared" si="5"/>
        <v>7755788.4299999997</v>
      </c>
      <c r="I49" s="113">
        <f>I40+1000000</f>
        <v>8142321.0999999996</v>
      </c>
      <c r="J49" s="113">
        <f t="shared" ref="J49:K49" si="6">J40+1000000</f>
        <v>7668809.3300000001</v>
      </c>
      <c r="K49" s="113">
        <f t="shared" si="6"/>
        <v>7273918.9299999997</v>
      </c>
      <c r="M49" s="2"/>
      <c r="N49" s="37"/>
    </row>
    <row r="50" spans="2:51" x14ac:dyDescent="0.25">
      <c r="B50" s="1">
        <f t="shared" ref="B50:K50" si="7">5 + 10/12</f>
        <v>5.833333333333333</v>
      </c>
      <c r="C50" s="1">
        <f t="shared" si="7"/>
        <v>5.833333333333333</v>
      </c>
      <c r="D50" s="1">
        <f t="shared" si="7"/>
        <v>5.833333333333333</v>
      </c>
      <c r="E50" s="1">
        <f t="shared" si="7"/>
        <v>5.833333333333333</v>
      </c>
      <c r="F50" s="1">
        <f t="shared" si="7"/>
        <v>5.833333333333333</v>
      </c>
      <c r="G50" s="1">
        <f t="shared" si="7"/>
        <v>5.833333333333333</v>
      </c>
      <c r="H50" s="1">
        <f t="shared" si="7"/>
        <v>5.833333333333333</v>
      </c>
      <c r="I50" s="1">
        <f>5 + 10/12</f>
        <v>5.833333333333333</v>
      </c>
      <c r="J50" s="1">
        <f t="shared" si="7"/>
        <v>5.833333333333333</v>
      </c>
      <c r="K50" s="1">
        <f t="shared" si="7"/>
        <v>5.833333333333333</v>
      </c>
      <c r="N50" s="2"/>
      <c r="AY50" s="2"/>
    </row>
    <row r="51" spans="2:51" x14ac:dyDescent="0.25">
      <c r="B51" s="59">
        <f t="shared" ref="B51:H51" si="8">B49/1000000</f>
        <v>6.9276794500000003</v>
      </c>
      <c r="C51" s="59">
        <f t="shared" si="8"/>
        <v>6.7106149899999998</v>
      </c>
      <c r="D51" s="59">
        <f t="shared" si="8"/>
        <v>9.1967611099999989</v>
      </c>
      <c r="E51" s="59">
        <f t="shared" si="8"/>
        <v>10.455392130000002</v>
      </c>
      <c r="F51" s="59">
        <f t="shared" si="8"/>
        <v>2.8222702700000002</v>
      </c>
      <c r="G51" s="59">
        <f t="shared" si="8"/>
        <v>8.5357711500000004</v>
      </c>
      <c r="H51" s="59">
        <f t="shared" si="8"/>
        <v>7.75578843</v>
      </c>
      <c r="I51" s="59">
        <f>I49/1000000</f>
        <v>8.1423211000000002</v>
      </c>
      <c r="J51" s="59">
        <f t="shared" ref="J51:K51" si="9">J49/1000000</f>
        <v>7.6688093300000002</v>
      </c>
      <c r="K51" s="59">
        <f t="shared" si="9"/>
        <v>7.2739189299999998</v>
      </c>
      <c r="N51" s="37"/>
      <c r="P51" s="2"/>
      <c r="AE51" s="37"/>
      <c r="AY51" s="2"/>
    </row>
    <row r="52" spans="2:51" x14ac:dyDescent="0.25">
      <c r="B52" s="59">
        <f t="shared" ref="B52:H52" si="10">B49/1000000 - 1</f>
        <v>5.9276794500000003</v>
      </c>
      <c r="C52" s="59">
        <f t="shared" si="10"/>
        <v>5.7106149899999998</v>
      </c>
      <c r="D52" s="59">
        <f t="shared" si="10"/>
        <v>8.1967611099999989</v>
      </c>
      <c r="E52" s="59">
        <f t="shared" si="10"/>
        <v>9.4553921300000017</v>
      </c>
      <c r="F52" s="59">
        <f t="shared" si="10"/>
        <v>1.8222702700000002</v>
      </c>
      <c r="G52" s="59">
        <f t="shared" si="10"/>
        <v>7.5357711500000004</v>
      </c>
      <c r="H52" s="59">
        <f t="shared" si="10"/>
        <v>6.75578843</v>
      </c>
      <c r="I52" s="59">
        <f>I49/1000000 - 1</f>
        <v>7.1423211000000002</v>
      </c>
      <c r="J52" s="59">
        <f t="shared" ref="J52:K52" si="11">J49/1000000 - 1</f>
        <v>6.6688093300000002</v>
      </c>
      <c r="K52" s="59">
        <f t="shared" si="11"/>
        <v>6.2739189299999998</v>
      </c>
      <c r="N52" s="2"/>
      <c r="Q52" s="37"/>
      <c r="AD52" s="37"/>
      <c r="AE52" s="2"/>
    </row>
    <row r="53" spans="2:51" x14ac:dyDescent="0.25">
      <c r="B53" s="37">
        <f t="shared" ref="B53:H53" si="12">B51^(1/B50)-1</f>
        <v>0.3934800743130189</v>
      </c>
      <c r="C53" s="37">
        <f t="shared" si="12"/>
        <v>0.38589613587873006</v>
      </c>
      <c r="D53" s="37">
        <f t="shared" si="12"/>
        <v>0.46283234736249823</v>
      </c>
      <c r="E53" s="37">
        <f t="shared" si="12"/>
        <v>0.49535413449410015</v>
      </c>
      <c r="F53" s="37">
        <f t="shared" si="12"/>
        <v>0.19466316809110129</v>
      </c>
      <c r="G53" s="37">
        <f t="shared" si="12"/>
        <v>0.44424747352119498</v>
      </c>
      <c r="H53" s="37">
        <f t="shared" si="12"/>
        <v>0.42071611392555774</v>
      </c>
      <c r="I53" s="37">
        <f>I51^(1/I50)-1</f>
        <v>0.4326109528332851</v>
      </c>
      <c r="J53" s="37">
        <f t="shared" ref="J53:K53" si="13">J51^(1/J50)-1</f>
        <v>0.41797197299630406</v>
      </c>
      <c r="K53" s="37">
        <f t="shared" si="13"/>
        <v>0.40517927379953034</v>
      </c>
      <c r="M53" s="37"/>
      <c r="Q53" s="2"/>
      <c r="AD53" s="2"/>
      <c r="AE53" s="37"/>
    </row>
    <row r="54" spans="2:51" x14ac:dyDescent="0.25">
      <c r="B54" s="9">
        <f t="shared" ref="B54:H54" si="14">1000000 * B53</f>
        <v>393480.07431301888</v>
      </c>
      <c r="C54" s="9">
        <f t="shared" si="14"/>
        <v>385896.13587873004</v>
      </c>
      <c r="D54" s="9">
        <f t="shared" si="14"/>
        <v>462832.34736249823</v>
      </c>
      <c r="E54" s="9">
        <f t="shared" si="14"/>
        <v>495354.13449410017</v>
      </c>
      <c r="F54" s="9">
        <f t="shared" si="14"/>
        <v>194663.16809110128</v>
      </c>
      <c r="G54" s="9">
        <f t="shared" si="14"/>
        <v>444247.473521195</v>
      </c>
      <c r="H54" s="9">
        <f t="shared" si="14"/>
        <v>420716.11392555776</v>
      </c>
      <c r="I54" s="9">
        <f>1000000 * I53</f>
        <v>432610.95283328509</v>
      </c>
      <c r="J54" s="9">
        <f t="shared" ref="J54" si="15">1000000 * J53</f>
        <v>417971.97299630404</v>
      </c>
      <c r="K54" s="9">
        <f t="shared" ref="K54" si="16">1000000 * K53</f>
        <v>405179.27379953035</v>
      </c>
      <c r="N54" s="37"/>
      <c r="AD54" s="2"/>
      <c r="AE54" s="2"/>
    </row>
    <row r="55" spans="2:51" x14ac:dyDescent="0.25">
      <c r="B55" s="113">
        <f t="shared" ref="B55:H55" si="17">B54+1000000</f>
        <v>1393480.0743130189</v>
      </c>
      <c r="C55" s="113">
        <f t="shared" si="17"/>
        <v>1385896.1358787301</v>
      </c>
      <c r="D55" s="113">
        <f t="shared" si="17"/>
        <v>1462832.3473624983</v>
      </c>
      <c r="E55" s="113">
        <f t="shared" si="17"/>
        <v>1495354.1344941002</v>
      </c>
      <c r="F55" s="113">
        <f t="shared" si="17"/>
        <v>1194663.1680911013</v>
      </c>
      <c r="G55" s="113">
        <f t="shared" si="17"/>
        <v>1444247.4735211949</v>
      </c>
      <c r="H55" s="113">
        <f t="shared" si="17"/>
        <v>1420716.1139255578</v>
      </c>
      <c r="I55" s="113">
        <f>I54+1000000</f>
        <v>1432610.9528332851</v>
      </c>
      <c r="J55" s="113">
        <f t="shared" ref="J55" si="18">J54+1000000</f>
        <v>1417971.972996304</v>
      </c>
      <c r="K55" s="113">
        <f t="shared" ref="K55" si="19">K54+1000000</f>
        <v>1405179.2737995302</v>
      </c>
      <c r="AD55" s="2"/>
    </row>
    <row r="56" spans="2:51" x14ac:dyDescent="0.25">
      <c r="B56" s="1">
        <f t="shared" ref="B56:H56" si="20">(1+B53)^(B50)-1</f>
        <v>5.9276794499999967</v>
      </c>
      <c r="C56" s="1">
        <f t="shared" si="20"/>
        <v>5.7106149900000007</v>
      </c>
      <c r="D56" s="1">
        <f t="shared" si="20"/>
        <v>8.1967611100000006</v>
      </c>
      <c r="E56" s="1">
        <f t="shared" si="20"/>
        <v>9.4553921300000034</v>
      </c>
      <c r="F56" s="1">
        <f t="shared" si="20"/>
        <v>1.8222702699999993</v>
      </c>
      <c r="G56" s="1">
        <f t="shared" si="20"/>
        <v>7.5357711500000022</v>
      </c>
      <c r="H56" s="1">
        <f t="shared" si="20"/>
        <v>6.7557884299999982</v>
      </c>
      <c r="I56" s="1">
        <f>(1+I53)^(I50)-1</f>
        <v>7.1423210999999984</v>
      </c>
      <c r="J56" s="1">
        <f t="shared" ref="J56:K56" si="21">(1+J53)^(J50)-1</f>
        <v>6.6688093299999993</v>
      </c>
      <c r="K56" s="1">
        <f t="shared" si="21"/>
        <v>6.2739189300000007</v>
      </c>
      <c r="N56" s="37"/>
      <c r="AE56" s="37"/>
    </row>
    <row r="57" spans="2:51" x14ac:dyDescent="0.25">
      <c r="B57" s="61">
        <f t="shared" ref="B57:H57" si="22">(B49/1000000) ^ (1/B50)-1</f>
        <v>0.3934800743130189</v>
      </c>
      <c r="C57" s="61">
        <f t="shared" si="22"/>
        <v>0.38589613587873006</v>
      </c>
      <c r="D57" s="61">
        <f t="shared" si="22"/>
        <v>0.46283234736249823</v>
      </c>
      <c r="E57" s="61">
        <f t="shared" si="22"/>
        <v>0.49535413449410015</v>
      </c>
      <c r="F57" s="61">
        <f t="shared" si="22"/>
        <v>0.19466316809110129</v>
      </c>
      <c r="G57" s="61">
        <f t="shared" si="22"/>
        <v>0.44424747352119498</v>
      </c>
      <c r="H57" s="61">
        <f t="shared" si="22"/>
        <v>0.42071611392555774</v>
      </c>
      <c r="I57" s="61">
        <f>(I49/1000000) ^ (1/I50)-1</f>
        <v>0.4326109528332851</v>
      </c>
      <c r="J57" s="61">
        <f t="shared" ref="J57:K57" si="23">(J49/1000000) ^ (1/J50)-1</f>
        <v>0.41797197299630406</v>
      </c>
      <c r="K57" s="61">
        <f t="shared" si="23"/>
        <v>0.40517927379953034</v>
      </c>
      <c r="Q57" s="37"/>
      <c r="S57" s="2"/>
      <c r="AD57" s="37"/>
    </row>
    <row r="58" spans="2:51" x14ac:dyDescent="0.25">
      <c r="AD58" s="37"/>
      <c r="AE58" s="37"/>
      <c r="AY58" s="37"/>
    </row>
    <row r="59" spans="2:51" x14ac:dyDescent="0.25">
      <c r="D59" s="113"/>
      <c r="E59" s="37"/>
      <c r="AY59" s="2"/>
    </row>
    <row r="60" spans="2:51" x14ac:dyDescent="0.25">
      <c r="E60" s="2"/>
      <c r="AV60" s="2"/>
    </row>
    <row r="63" spans="2:51" x14ac:dyDescent="0.25">
      <c r="AY63" s="37"/>
    </row>
    <row r="64" spans="2:51" x14ac:dyDescent="0.25">
      <c r="E64" s="37"/>
      <c r="AD64" s="37"/>
    </row>
    <row r="65" spans="19:30" x14ac:dyDescent="0.25">
      <c r="AD65" s="37"/>
    </row>
    <row r="66" spans="19:30" x14ac:dyDescent="0.25">
      <c r="AD66" s="37"/>
    </row>
    <row r="67" spans="19:30" x14ac:dyDescent="0.25">
      <c r="S67" s="37"/>
      <c r="AD67" s="37"/>
    </row>
    <row r="68" spans="19:30" x14ac:dyDescent="0.25">
      <c r="S68" s="37"/>
      <c r="AD68" s="2"/>
    </row>
    <row r="69" spans="19:30" x14ac:dyDescent="0.25">
      <c r="S69" s="37"/>
    </row>
    <row r="70" spans="19:30" x14ac:dyDescent="0.25">
      <c r="S70" s="37"/>
    </row>
    <row r="71" spans="19:30" x14ac:dyDescent="0.25">
      <c r="S71" s="2"/>
    </row>
    <row r="72" spans="19:30" x14ac:dyDescent="0.25">
      <c r="T72" s="2"/>
      <c r="U72" s="2"/>
      <c r="V72" s="2"/>
    </row>
    <row r="77" spans="19:30" x14ac:dyDescent="0.25">
      <c r="AD77" s="2"/>
    </row>
    <row r="78" spans="19:30" x14ac:dyDescent="0.25">
      <c r="AD78" s="37"/>
    </row>
    <row r="79" spans="19:30" x14ac:dyDescent="0.25">
      <c r="AD79" s="37"/>
    </row>
    <row r="80" spans="19:30" x14ac:dyDescent="0.25">
      <c r="S80" s="2"/>
      <c r="AD80" s="37"/>
    </row>
    <row r="81" spans="19:30" x14ac:dyDescent="0.25">
      <c r="S81" s="37"/>
      <c r="AD81" s="37"/>
    </row>
    <row r="82" spans="19:30" x14ac:dyDescent="0.25">
      <c r="S82" s="37"/>
      <c r="V82" s="2"/>
    </row>
    <row r="83" spans="19:30" x14ac:dyDescent="0.25">
      <c r="S83" s="37"/>
      <c r="AD83" s="37"/>
    </row>
    <row r="84" spans="19:30" x14ac:dyDescent="0.25">
      <c r="S84" s="37"/>
      <c r="AD84" s="37"/>
    </row>
    <row r="86" spans="19:30" x14ac:dyDescent="0.25">
      <c r="S86" s="37"/>
    </row>
    <row r="87" spans="19:30" x14ac:dyDescent="0.25">
      <c r="S87" s="37"/>
    </row>
    <row r="94" spans="19:30" x14ac:dyDescent="0.25">
      <c r="AD94" s="37"/>
    </row>
    <row r="95" spans="19:30" x14ac:dyDescent="0.25">
      <c r="AD95" s="37"/>
    </row>
    <row r="96" spans="19:30" x14ac:dyDescent="0.25">
      <c r="AD96" s="37"/>
    </row>
    <row r="97" spans="2:30" x14ac:dyDescent="0.25">
      <c r="S97" s="37"/>
      <c r="AD97" s="37"/>
    </row>
    <row r="98" spans="2:30" x14ac:dyDescent="0.25">
      <c r="S98" s="37"/>
    </row>
    <row r="99" spans="2:30" x14ac:dyDescent="0.25">
      <c r="S99" s="37"/>
    </row>
    <row r="100" spans="2:30" x14ac:dyDescent="0.25">
      <c r="S100" s="37"/>
    </row>
    <row r="101" spans="2:30" x14ac:dyDescent="0.25">
      <c r="S101" s="37"/>
    </row>
    <row r="103" spans="2:30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T103" s="2"/>
      <c r="U103" s="2"/>
      <c r="V103" s="2"/>
      <c r="W103" s="2"/>
      <c r="X103" s="2"/>
      <c r="Y103" s="2"/>
      <c r="Z103" s="2"/>
      <c r="AA103" s="2"/>
    </row>
    <row r="104" spans="2:30" x14ac:dyDescent="0.25">
      <c r="AD104" s="2"/>
    </row>
    <row r="105" spans="2:30" x14ac:dyDescent="0.25">
      <c r="AD105" s="2"/>
    </row>
    <row r="108" spans="2:30" x14ac:dyDescent="0.25">
      <c r="S108" s="2"/>
    </row>
    <row r="109" spans="2:30" x14ac:dyDescent="0.25">
      <c r="S109" s="2"/>
    </row>
    <row r="112" spans="2:30" x14ac:dyDescent="0.25">
      <c r="AD112" s="37"/>
    </row>
    <row r="113" spans="19:30" x14ac:dyDescent="0.25">
      <c r="AD113" s="2"/>
    </row>
    <row r="114" spans="19:30" x14ac:dyDescent="0.25">
      <c r="AD114" s="2"/>
    </row>
    <row r="116" spans="19:30" x14ac:dyDescent="0.25">
      <c r="S116" s="37"/>
    </row>
    <row r="117" spans="19:30" x14ac:dyDescent="0.25">
      <c r="S117" s="2"/>
      <c r="AD117" s="37"/>
    </row>
    <row r="121" spans="19:30" x14ac:dyDescent="0.25">
      <c r="S121" s="37"/>
    </row>
  </sheetData>
  <sortState xmlns:xlrd2="http://schemas.microsoft.com/office/spreadsheetml/2017/richdata2" columnSort="1" ref="AP1:AV2">
    <sortCondition descending="1" ref="AP1:AV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65FA-396B-48EE-A0BA-DE2F8F634412}">
  <dimension ref="D3:S40"/>
  <sheetViews>
    <sheetView workbookViewId="0">
      <selection activeCell="S38" sqref="S38"/>
    </sheetView>
  </sheetViews>
  <sheetFormatPr defaultRowHeight="15" x14ac:dyDescent="0.25"/>
  <cols>
    <col min="15" max="15" width="12.5703125" customWidth="1"/>
    <col min="17" max="17" width="11.7109375" bestFit="1" customWidth="1"/>
    <col min="19" max="19" width="9.85546875" bestFit="1" customWidth="1"/>
  </cols>
  <sheetData>
    <row r="3" spans="4:15" x14ac:dyDescent="0.25">
      <c r="D3" s="123">
        <v>43901</v>
      </c>
    </row>
    <row r="4" spans="4:15" x14ac:dyDescent="0.25">
      <c r="D4" t="s">
        <v>1478</v>
      </c>
    </row>
    <row r="5" spans="4:15" x14ac:dyDescent="0.25">
      <c r="D5" t="s">
        <v>1479</v>
      </c>
    </row>
    <row r="6" spans="4:15" x14ac:dyDescent="0.25">
      <c r="D6" t="s">
        <v>1480</v>
      </c>
    </row>
    <row r="7" spans="4:15" x14ac:dyDescent="0.25">
      <c r="D7" t="s">
        <v>1481</v>
      </c>
    </row>
    <row r="8" spans="4:15" x14ac:dyDescent="0.25">
      <c r="D8" t="s">
        <v>1482</v>
      </c>
    </row>
    <row r="9" spans="4:15" x14ac:dyDescent="0.25">
      <c r="D9" t="s">
        <v>1483</v>
      </c>
    </row>
    <row r="10" spans="4:15" x14ac:dyDescent="0.25">
      <c r="D10" t="s">
        <v>1484</v>
      </c>
    </row>
    <row r="11" spans="4:15" x14ac:dyDescent="0.25">
      <c r="D11" t="s">
        <v>1485</v>
      </c>
    </row>
    <row r="12" spans="4:15" x14ac:dyDescent="0.25">
      <c r="D12" t="s">
        <v>1486</v>
      </c>
    </row>
    <row r="13" spans="4:15" x14ac:dyDescent="0.25">
      <c r="D13" t="s">
        <v>1487</v>
      </c>
    </row>
    <row r="14" spans="4:15" x14ac:dyDescent="0.25">
      <c r="D14" t="s">
        <v>1488</v>
      </c>
    </row>
    <row r="15" spans="4:15" x14ac:dyDescent="0.25">
      <c r="D15" t="s">
        <v>1489</v>
      </c>
      <c r="O15">
        <v>-36.18</v>
      </c>
    </row>
    <row r="16" spans="4:15" x14ac:dyDescent="0.25">
      <c r="D16" t="s">
        <v>1490</v>
      </c>
      <c r="O16" s="85">
        <v>-18071.18</v>
      </c>
    </row>
    <row r="17" spans="4:17" x14ac:dyDescent="0.25">
      <c r="D17" t="s">
        <v>1491</v>
      </c>
      <c r="O17" s="85">
        <v>981928.82</v>
      </c>
      <c r="Q17" s="85">
        <f>O17-O16</f>
        <v>1000000</v>
      </c>
    </row>
    <row r="18" spans="4:17" x14ac:dyDescent="0.25">
      <c r="D18" t="s">
        <v>1492</v>
      </c>
    </row>
    <row r="20" spans="4:17" x14ac:dyDescent="0.25">
      <c r="D20" s="123">
        <v>43902</v>
      </c>
    </row>
    <row r="21" spans="4:17" x14ac:dyDescent="0.25">
      <c r="D21" t="s">
        <v>1493</v>
      </c>
      <c r="O21" s="85">
        <v>-21456.7</v>
      </c>
    </row>
    <row r="22" spans="4:17" x14ac:dyDescent="0.25">
      <c r="D22" t="s">
        <v>1494</v>
      </c>
    </row>
    <row r="23" spans="4:17" x14ac:dyDescent="0.25">
      <c r="D23" t="s">
        <v>1495</v>
      </c>
    </row>
    <row r="24" spans="4:17" x14ac:dyDescent="0.25">
      <c r="D24" t="s">
        <v>1496</v>
      </c>
    </row>
    <row r="25" spans="4:17" x14ac:dyDescent="0.25">
      <c r="D25" t="s">
        <v>1497</v>
      </c>
    </row>
    <row r="26" spans="4:17" x14ac:dyDescent="0.25">
      <c r="D26" t="s">
        <v>1498</v>
      </c>
    </row>
    <row r="27" spans="4:17" x14ac:dyDescent="0.25">
      <c r="D27" t="s">
        <v>1499</v>
      </c>
    </row>
    <row r="28" spans="4:17" x14ac:dyDescent="0.25">
      <c r="D28" t="s">
        <v>1479</v>
      </c>
    </row>
    <row r="29" spans="4:17" x14ac:dyDescent="0.25">
      <c r="D29" t="s">
        <v>1500</v>
      </c>
    </row>
    <row r="30" spans="4:17" x14ac:dyDescent="0.25">
      <c r="D30" t="s">
        <v>1501</v>
      </c>
    </row>
    <row r="31" spans="4:17" x14ac:dyDescent="0.25">
      <c r="D31" t="s">
        <v>1502</v>
      </c>
    </row>
    <row r="32" spans="4:17" x14ac:dyDescent="0.25">
      <c r="D32" t="s">
        <v>1503</v>
      </c>
    </row>
    <row r="33" spans="4:19" x14ac:dyDescent="0.25">
      <c r="D33" t="s">
        <v>1504</v>
      </c>
    </row>
    <row r="34" spans="4:19" x14ac:dyDescent="0.25">
      <c r="D34" t="s">
        <v>1505</v>
      </c>
    </row>
    <row r="35" spans="4:19" x14ac:dyDescent="0.25">
      <c r="D35" t="s">
        <v>1506</v>
      </c>
    </row>
    <row r="36" spans="4:19" x14ac:dyDescent="0.25">
      <c r="D36" t="s">
        <v>1507</v>
      </c>
    </row>
    <row r="37" spans="4:19" x14ac:dyDescent="0.25">
      <c r="D37" t="s">
        <v>1508</v>
      </c>
      <c r="O37" s="85">
        <v>-21456.7</v>
      </c>
    </row>
    <row r="38" spans="4:19" x14ac:dyDescent="0.25">
      <c r="D38" t="s">
        <v>1509</v>
      </c>
      <c r="O38" s="85">
        <v>-42949.58</v>
      </c>
      <c r="Q38" s="85">
        <f>O15+O21</f>
        <v>-21492.880000000001</v>
      </c>
      <c r="S38" s="85">
        <f>O38-Q38</f>
        <v>-21456.7</v>
      </c>
    </row>
    <row r="39" spans="4:19" x14ac:dyDescent="0.25">
      <c r="D39" t="s">
        <v>1510</v>
      </c>
    </row>
    <row r="40" spans="4:19" x14ac:dyDescent="0.25">
      <c r="D40" t="s">
        <v>1511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78D7-F2B1-4115-B201-6531C0D7C4F1}">
  <dimension ref="C2:S12"/>
  <sheetViews>
    <sheetView workbookViewId="0">
      <selection activeCell="P12" sqref="P12"/>
    </sheetView>
  </sheetViews>
  <sheetFormatPr defaultRowHeight="15" x14ac:dyDescent="0.25"/>
  <cols>
    <col min="10" max="10" width="14.140625" customWidth="1"/>
    <col min="12" max="12" width="12.28515625" bestFit="1" customWidth="1"/>
    <col min="14" max="14" width="14.140625" customWidth="1"/>
    <col min="16" max="16" width="14.28515625" bestFit="1" customWidth="1"/>
  </cols>
  <sheetData>
    <row r="2" spans="3:19" x14ac:dyDescent="0.25">
      <c r="C2" t="s">
        <v>1512</v>
      </c>
      <c r="J2" s="86">
        <v>25271</v>
      </c>
      <c r="K2" s="86"/>
      <c r="L2" s="86"/>
    </row>
    <row r="3" spans="3:19" x14ac:dyDescent="0.25">
      <c r="C3" t="s">
        <v>1513</v>
      </c>
      <c r="J3" s="86">
        <v>-272.02</v>
      </c>
      <c r="K3" s="86"/>
      <c r="L3" s="86"/>
    </row>
    <row r="4" spans="3:19" x14ac:dyDescent="0.25">
      <c r="C4" t="s">
        <v>1514</v>
      </c>
      <c r="J4" s="86">
        <v>24998.98</v>
      </c>
      <c r="K4" s="86"/>
      <c r="L4" s="86"/>
    </row>
    <row r="5" spans="3:19" x14ac:dyDescent="0.25">
      <c r="C5" t="s">
        <v>1515</v>
      </c>
      <c r="J5" s="86">
        <v>1024998.98</v>
      </c>
      <c r="K5" s="86"/>
      <c r="L5" s="86"/>
    </row>
    <row r="6" spans="3:19" x14ac:dyDescent="0.25">
      <c r="C6" t="s">
        <v>1492</v>
      </c>
      <c r="J6" s="86"/>
      <c r="K6" s="86"/>
      <c r="L6" s="86"/>
    </row>
    <row r="7" spans="3:19" x14ac:dyDescent="0.25">
      <c r="J7" s="86"/>
      <c r="K7" s="86"/>
      <c r="L7" s="86"/>
    </row>
    <row r="8" spans="3:19" x14ac:dyDescent="0.25">
      <c r="C8" t="s">
        <v>1516</v>
      </c>
      <c r="J8" s="86">
        <v>61265</v>
      </c>
      <c r="K8" s="86"/>
      <c r="L8" s="86">
        <f>J8-J2</f>
        <v>35994</v>
      </c>
    </row>
    <row r="9" spans="3:19" x14ac:dyDescent="0.25">
      <c r="C9" t="s">
        <v>1517</v>
      </c>
      <c r="J9" s="86">
        <v>-38028.230000000003</v>
      </c>
      <c r="K9" s="86"/>
      <c r="L9" s="86"/>
    </row>
    <row r="10" spans="3:19" x14ac:dyDescent="0.25">
      <c r="C10" t="s">
        <v>1518</v>
      </c>
      <c r="J10" s="86">
        <v>-38300.25</v>
      </c>
      <c r="K10" s="86"/>
      <c r="L10" s="86">
        <f>J3+J9</f>
        <v>-38300.25</v>
      </c>
    </row>
    <row r="11" spans="3:19" x14ac:dyDescent="0.25">
      <c r="C11" t="s">
        <v>1519</v>
      </c>
      <c r="J11" s="86">
        <v>22964.75</v>
      </c>
      <c r="K11" s="86"/>
      <c r="L11" s="86">
        <f>J8+J10</f>
        <v>22964.75</v>
      </c>
      <c r="N11" s="90">
        <f>J11-J4</f>
        <v>-2034.2299999999996</v>
      </c>
    </row>
    <row r="12" spans="3:19" x14ac:dyDescent="0.25">
      <c r="C12" t="s">
        <v>1520</v>
      </c>
      <c r="J12" s="86">
        <v>1023019.69</v>
      </c>
      <c r="K12" s="86"/>
      <c r="N12" s="86">
        <f>J5-J12</f>
        <v>1979.2900000000373</v>
      </c>
      <c r="P12" s="90">
        <f>J11+1000000</f>
        <v>1022964.75</v>
      </c>
      <c r="Q12" s="90">
        <f>J12-P12</f>
        <v>54.939999999944121</v>
      </c>
      <c r="S12" s="90">
        <f>Q12/0.67</f>
        <v>81.999999999916596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5807-758C-4E2F-847F-9FDDA1F4BB43}">
  <dimension ref="B2:N721"/>
  <sheetViews>
    <sheetView topLeftCell="A17" workbookViewId="0">
      <selection activeCell="K115" sqref="K115:M115"/>
    </sheetView>
  </sheetViews>
  <sheetFormatPr defaultRowHeight="15" x14ac:dyDescent="0.25"/>
  <cols>
    <col min="3" max="3" width="35.28515625" customWidth="1"/>
    <col min="4" max="8" width="15.5703125" customWidth="1"/>
    <col min="9" max="9" width="16.7109375" customWidth="1"/>
    <col min="11" max="11" width="15.28515625" customWidth="1"/>
    <col min="12" max="12" width="29.42578125" customWidth="1"/>
    <col min="13" max="13" width="14.28515625" bestFit="1" customWidth="1"/>
  </cols>
  <sheetData>
    <row r="2" spans="2:6" x14ac:dyDescent="0.25">
      <c r="B2" t="s">
        <v>347</v>
      </c>
    </row>
    <row r="3" spans="2:6" x14ac:dyDescent="0.25">
      <c r="B3" t="s">
        <v>1318</v>
      </c>
    </row>
    <row r="4" spans="2:6" x14ac:dyDescent="0.25">
      <c r="B4" t="s">
        <v>1319</v>
      </c>
    </row>
    <row r="5" spans="2:6" x14ac:dyDescent="0.25">
      <c r="B5" t="s">
        <v>1320</v>
      </c>
    </row>
    <row r="7" spans="2:6" x14ac:dyDescent="0.25">
      <c r="B7" t="s">
        <v>344</v>
      </c>
    </row>
    <row r="8" spans="2:6" x14ac:dyDescent="0.25">
      <c r="B8" t="s">
        <v>345</v>
      </c>
    </row>
    <row r="11" spans="2:6" x14ac:dyDescent="0.25">
      <c r="C11" t="s">
        <v>1205</v>
      </c>
      <c r="D11" t="s">
        <v>1206</v>
      </c>
      <c r="E11" t="s">
        <v>1207</v>
      </c>
      <c r="F11" t="s">
        <v>1208</v>
      </c>
    </row>
    <row r="12" spans="2:6" x14ac:dyDescent="0.25">
      <c r="C12" t="s">
        <v>348</v>
      </c>
      <c r="D12" t="s">
        <v>325</v>
      </c>
      <c r="E12" t="s">
        <v>18</v>
      </c>
      <c r="F12" t="s">
        <v>241</v>
      </c>
    </row>
    <row r="13" spans="2:6" x14ac:dyDescent="0.25">
      <c r="C13" t="s">
        <v>1209</v>
      </c>
      <c r="D13" s="84">
        <v>6.5686999999999998</v>
      </c>
      <c r="E13" s="84">
        <v>1.2844</v>
      </c>
      <c r="F13" t="s">
        <v>1321</v>
      </c>
    </row>
    <row r="14" spans="2:6" x14ac:dyDescent="0.25">
      <c r="C14" t="s">
        <v>349</v>
      </c>
      <c r="D14" s="84">
        <v>0.41520000000000001</v>
      </c>
      <c r="E14" s="84">
        <v>0.15229999999999999</v>
      </c>
      <c r="F14" t="s">
        <v>1322</v>
      </c>
    </row>
    <row r="16" spans="2:6" x14ac:dyDescent="0.25">
      <c r="E16" s="86">
        <v>6568651.8399999999</v>
      </c>
    </row>
    <row r="17" spans="2:7" x14ac:dyDescent="0.25">
      <c r="B17" t="s">
        <v>233</v>
      </c>
      <c r="E17" s="118">
        <f>SUM(E20:E89)</f>
        <v>6568651.8399999989</v>
      </c>
    </row>
    <row r="18" spans="2:7" x14ac:dyDescent="0.25">
      <c r="C18" t="s">
        <v>235</v>
      </c>
      <c r="D18" t="s">
        <v>236</v>
      </c>
      <c r="E18" t="s">
        <v>237</v>
      </c>
      <c r="F18" t="s">
        <v>238</v>
      </c>
      <c r="G18" t="s">
        <v>239</v>
      </c>
    </row>
    <row r="19" spans="2:7" x14ac:dyDescent="0.25">
      <c r="C19" t="s">
        <v>240</v>
      </c>
      <c r="D19" t="s">
        <v>241</v>
      </c>
      <c r="E19" t="s">
        <v>39</v>
      </c>
      <c r="F19" t="s">
        <v>242</v>
      </c>
      <c r="G19" t="s">
        <v>243</v>
      </c>
    </row>
    <row r="20" spans="2:7" x14ac:dyDescent="0.25">
      <c r="C20" t="s">
        <v>244</v>
      </c>
      <c r="D20" s="83">
        <v>1000000</v>
      </c>
      <c r="E20" s="83">
        <v>0</v>
      </c>
      <c r="F20" s="84">
        <v>0</v>
      </c>
      <c r="G20" s="84">
        <v>-9.7000000000000003E-3</v>
      </c>
    </row>
    <row r="21" spans="2:7" x14ac:dyDescent="0.25">
      <c r="C21" t="s">
        <v>245</v>
      </c>
      <c r="D21" s="83">
        <v>1000000</v>
      </c>
      <c r="E21" s="83">
        <v>0</v>
      </c>
      <c r="F21" s="84">
        <v>0</v>
      </c>
      <c r="G21" s="84">
        <v>-7.9200000000000007E-2</v>
      </c>
    </row>
    <row r="22" spans="2:7" x14ac:dyDescent="0.25">
      <c r="C22" t="s">
        <v>246</v>
      </c>
      <c r="D22" s="83">
        <v>996989.85</v>
      </c>
      <c r="E22" s="83">
        <v>-3010.15</v>
      </c>
      <c r="F22" s="84">
        <v>-3.0000000000000001E-3</v>
      </c>
      <c r="G22" s="84">
        <v>-0.1249</v>
      </c>
    </row>
    <row r="23" spans="2:7" x14ac:dyDescent="0.25">
      <c r="C23" t="s">
        <v>247</v>
      </c>
      <c r="D23" s="83">
        <v>1043450.08</v>
      </c>
      <c r="E23" s="83">
        <v>46460.23</v>
      </c>
      <c r="F23" s="84">
        <v>4.6600000000000003E-2</v>
      </c>
      <c r="G23" s="84">
        <v>0.127</v>
      </c>
    </row>
    <row r="24" spans="2:7" x14ac:dyDescent="0.25">
      <c r="C24" t="s">
        <v>248</v>
      </c>
      <c r="D24" s="83">
        <v>1106801.43</v>
      </c>
      <c r="E24" s="83">
        <v>63351.35</v>
      </c>
      <c r="F24" s="84">
        <v>6.0699999999999997E-2</v>
      </c>
      <c r="G24" s="84">
        <v>4.7600000000000003E-2</v>
      </c>
    </row>
    <row r="25" spans="2:7" x14ac:dyDescent="0.25">
      <c r="C25" t="s">
        <v>249</v>
      </c>
      <c r="D25" s="83">
        <v>1112981.4099999999</v>
      </c>
      <c r="E25" s="83">
        <v>6179.98</v>
      </c>
      <c r="F25" s="84">
        <v>5.5999999999999999E-3</v>
      </c>
      <c r="G25" s="84">
        <v>1.77E-2</v>
      </c>
    </row>
    <row r="26" spans="2:7" x14ac:dyDescent="0.25">
      <c r="C26" t="s">
        <v>250</v>
      </c>
      <c r="D26" s="83">
        <v>1238892.17</v>
      </c>
      <c r="E26" s="83">
        <v>125910.76</v>
      </c>
      <c r="F26" s="84">
        <v>0.11310000000000001</v>
      </c>
      <c r="G26" s="84">
        <v>5.8900000000000001E-2</v>
      </c>
    </row>
    <row r="27" spans="2:7" x14ac:dyDescent="0.25">
      <c r="C27" t="s">
        <v>251</v>
      </c>
      <c r="D27" s="83">
        <v>1363316.17</v>
      </c>
      <c r="E27" s="83">
        <v>124424</v>
      </c>
      <c r="F27" s="84">
        <v>0.1004</v>
      </c>
      <c r="G27" s="84">
        <v>6.9800000000000001E-2</v>
      </c>
    </row>
    <row r="28" spans="2:7" x14ac:dyDescent="0.25">
      <c r="C28" t="s">
        <v>252</v>
      </c>
      <c r="D28" s="83">
        <v>1376025.71</v>
      </c>
      <c r="E28" s="83">
        <v>12709.54</v>
      </c>
      <c r="F28" s="84">
        <v>9.2999999999999992E-3</v>
      </c>
      <c r="G28" s="84">
        <v>-3.7400000000000003E-2</v>
      </c>
    </row>
    <row r="29" spans="2:7" x14ac:dyDescent="0.25">
      <c r="C29" t="s">
        <v>253</v>
      </c>
      <c r="D29" s="83">
        <v>1317365.6499999999</v>
      </c>
      <c r="E29" s="83">
        <v>-58660.06</v>
      </c>
      <c r="F29" s="84">
        <v>-4.2599999999999999E-2</v>
      </c>
      <c r="G29" s="84">
        <v>-2.4899999999999999E-2</v>
      </c>
    </row>
    <row r="30" spans="2:7" x14ac:dyDescent="0.25">
      <c r="C30" t="s">
        <v>254</v>
      </c>
      <c r="D30" s="83">
        <v>1835913.29</v>
      </c>
      <c r="E30" s="83">
        <v>518547.64</v>
      </c>
      <c r="F30" s="84">
        <v>0.39360000000000001</v>
      </c>
      <c r="G30" s="84">
        <v>0.10879999999999999</v>
      </c>
    </row>
    <row r="31" spans="2:7" x14ac:dyDescent="0.25">
      <c r="C31" t="s">
        <v>255</v>
      </c>
      <c r="D31" s="83">
        <v>1984464.49</v>
      </c>
      <c r="E31" s="83">
        <v>148551.20000000001</v>
      </c>
      <c r="F31" s="84">
        <v>8.09E-2</v>
      </c>
      <c r="G31" s="84">
        <v>3.6999999999999998E-2</v>
      </c>
    </row>
    <row r="32" spans="2:7" x14ac:dyDescent="0.25">
      <c r="C32" t="s">
        <v>256</v>
      </c>
      <c r="D32" s="83">
        <v>1938029.88</v>
      </c>
      <c r="E32" s="83">
        <v>-46434.61</v>
      </c>
      <c r="F32" s="84">
        <v>-2.3400000000000001E-2</v>
      </c>
      <c r="G32" s="84">
        <v>-1.0200000000000001E-2</v>
      </c>
    </row>
    <row r="33" spans="3:7" x14ac:dyDescent="0.25">
      <c r="C33" t="s">
        <v>257</v>
      </c>
      <c r="D33" s="83">
        <v>2177585.16</v>
      </c>
      <c r="E33" s="83">
        <v>239555.28</v>
      </c>
      <c r="F33" s="84">
        <v>0.1236</v>
      </c>
      <c r="G33" s="84">
        <v>2.7799999999999998E-2</v>
      </c>
    </row>
    <row r="34" spans="3:7" x14ac:dyDescent="0.25">
      <c r="C34" t="s">
        <v>258</v>
      </c>
      <c r="D34" s="83">
        <v>2386164.37</v>
      </c>
      <c r="E34" s="83">
        <v>208579.21</v>
      </c>
      <c r="F34" s="84">
        <v>9.5799999999999996E-2</v>
      </c>
      <c r="G34" s="84">
        <v>4.5400000000000003E-2</v>
      </c>
    </row>
    <row r="35" spans="3:7" x14ac:dyDescent="0.25">
      <c r="C35" t="s">
        <v>259</v>
      </c>
      <c r="D35" s="83">
        <v>2437715.39</v>
      </c>
      <c r="E35" s="83">
        <v>51551.02</v>
      </c>
      <c r="F35" s="84">
        <v>2.1600000000000001E-2</v>
      </c>
      <c r="G35" s="84">
        <v>5.2900000000000003E-2</v>
      </c>
    </row>
    <row r="36" spans="3:7" x14ac:dyDescent="0.25">
      <c r="C36" t="s">
        <v>260</v>
      </c>
      <c r="D36" s="83">
        <v>2233200.86</v>
      </c>
      <c r="E36" s="83">
        <v>-204514.53</v>
      </c>
      <c r="F36" s="84">
        <v>-8.3900000000000002E-2</v>
      </c>
      <c r="G36" s="84">
        <v>6.6E-3</v>
      </c>
    </row>
    <row r="37" spans="3:7" x14ac:dyDescent="0.25">
      <c r="C37" t="s">
        <v>261</v>
      </c>
      <c r="D37" s="83">
        <v>2336263.85</v>
      </c>
      <c r="E37" s="83">
        <v>103062.99</v>
      </c>
      <c r="F37" s="84">
        <v>4.6199999999999998E-2</v>
      </c>
      <c r="G37" s="84">
        <v>2.24E-2</v>
      </c>
    </row>
    <row r="38" spans="3:7" x14ac:dyDescent="0.25">
      <c r="C38" t="s">
        <v>262</v>
      </c>
      <c r="D38" s="83">
        <v>2337588.4</v>
      </c>
      <c r="E38" s="83">
        <v>1324.55</v>
      </c>
      <c r="F38" s="84">
        <v>5.9999999999999995E-4</v>
      </c>
      <c r="G38" s="84">
        <v>2.4400000000000002E-2</v>
      </c>
    </row>
    <row r="39" spans="3:7" x14ac:dyDescent="0.25">
      <c r="C39" t="s">
        <v>263</v>
      </c>
      <c r="D39" s="83">
        <v>2378322.66</v>
      </c>
      <c r="E39" s="83">
        <v>40734.26</v>
      </c>
      <c r="F39" s="84">
        <v>1.7399999999999999E-2</v>
      </c>
      <c r="G39" s="84">
        <v>2.98E-2</v>
      </c>
    </row>
    <row r="40" spans="3:7" x14ac:dyDescent="0.25">
      <c r="C40" t="s">
        <v>264</v>
      </c>
      <c r="D40" s="83">
        <v>2278082.2000000002</v>
      </c>
      <c r="E40" s="83">
        <v>-100240.46</v>
      </c>
      <c r="F40" s="84">
        <v>-4.2099999999999999E-2</v>
      </c>
      <c r="G40" s="84">
        <v>-4.6600000000000003E-2</v>
      </c>
    </row>
    <row r="41" spans="3:7" x14ac:dyDescent="0.25">
      <c r="C41" t="s">
        <v>265</v>
      </c>
      <c r="D41" s="83">
        <v>2952159.41</v>
      </c>
      <c r="E41" s="83">
        <v>674077.21</v>
      </c>
      <c r="F41" s="84">
        <v>0.2959</v>
      </c>
      <c r="G41" s="84">
        <v>7.0199999999999999E-2</v>
      </c>
    </row>
    <row r="42" spans="3:7" x14ac:dyDescent="0.25">
      <c r="C42" t="s">
        <v>266</v>
      </c>
      <c r="D42" s="83">
        <v>2966400.28</v>
      </c>
      <c r="E42" s="83">
        <v>14240.87</v>
      </c>
      <c r="F42" s="84">
        <v>4.7999999999999996E-3</v>
      </c>
      <c r="G42" s="84">
        <v>-8.0000000000000002E-3</v>
      </c>
    </row>
    <row r="43" spans="3:7" x14ac:dyDescent="0.25">
      <c r="C43" t="s">
        <v>267</v>
      </c>
      <c r="D43" s="83">
        <v>3214259.95</v>
      </c>
      <c r="E43" s="83">
        <v>247859.67</v>
      </c>
      <c r="F43" s="84">
        <v>8.3599999999999994E-2</v>
      </c>
      <c r="G43" s="84">
        <v>4.6199999999999998E-2</v>
      </c>
    </row>
    <row r="44" spans="3:7" x14ac:dyDescent="0.25">
      <c r="C44" t="s">
        <v>268</v>
      </c>
      <c r="D44" s="83">
        <v>3011647.51</v>
      </c>
      <c r="E44" s="83">
        <v>-202612.44</v>
      </c>
      <c r="F44" s="84">
        <v>-6.3E-2</v>
      </c>
      <c r="G44" s="84">
        <v>-5.2699999999999997E-2</v>
      </c>
    </row>
    <row r="45" spans="3:7" x14ac:dyDescent="0.25">
      <c r="C45" t="s">
        <v>269</v>
      </c>
      <c r="D45" s="83">
        <v>2967030.05</v>
      </c>
      <c r="E45" s="83">
        <v>-44617.46</v>
      </c>
      <c r="F45" s="84">
        <v>-1.4800000000000001E-2</v>
      </c>
      <c r="G45" s="84">
        <v>-2.9499999999999998E-2</v>
      </c>
    </row>
    <row r="46" spans="3:7" x14ac:dyDescent="0.25">
      <c r="C46" t="s">
        <v>270</v>
      </c>
      <c r="D46" s="83">
        <v>2946326.6</v>
      </c>
      <c r="E46" s="83">
        <v>-20703.45</v>
      </c>
      <c r="F46" s="84">
        <v>-7.0000000000000001E-3</v>
      </c>
      <c r="G46" s="84">
        <v>3.7600000000000001E-2</v>
      </c>
    </row>
    <row r="47" spans="3:7" x14ac:dyDescent="0.25">
      <c r="C47" t="s">
        <v>271</v>
      </c>
      <c r="D47" s="83">
        <v>2707537.4</v>
      </c>
      <c r="E47" s="83">
        <v>-238789.2</v>
      </c>
      <c r="F47" s="84">
        <v>-8.1000000000000003E-2</v>
      </c>
      <c r="G47" s="84">
        <v>-8.7800000000000003E-2</v>
      </c>
    </row>
    <row r="48" spans="3:7" x14ac:dyDescent="0.25">
      <c r="C48" t="s">
        <v>272</v>
      </c>
      <c r="D48" s="83">
        <v>2874932.01</v>
      </c>
      <c r="E48" s="83">
        <v>167394.60999999999</v>
      </c>
      <c r="F48" s="84">
        <v>6.1800000000000001E-2</v>
      </c>
      <c r="G48" s="84">
        <v>2.3E-3</v>
      </c>
    </row>
    <row r="49" spans="3:7" x14ac:dyDescent="0.25">
      <c r="C49" t="s">
        <v>273</v>
      </c>
      <c r="D49" s="83">
        <v>2433224.31</v>
      </c>
      <c r="E49" s="83">
        <v>-441707.7</v>
      </c>
      <c r="F49" s="84">
        <v>-0.15359999999999999</v>
      </c>
      <c r="G49" s="84">
        <v>-8.2500000000000004E-2</v>
      </c>
    </row>
    <row r="50" spans="3:7" x14ac:dyDescent="0.25">
      <c r="C50" t="s">
        <v>274</v>
      </c>
      <c r="D50" s="83">
        <v>2996392.67</v>
      </c>
      <c r="E50" s="83">
        <v>563168.36</v>
      </c>
      <c r="F50" s="84">
        <v>0.23139999999999999</v>
      </c>
      <c r="G50" s="84">
        <v>9.2100000000000001E-2</v>
      </c>
    </row>
    <row r="51" spans="3:7" x14ac:dyDescent="0.25">
      <c r="C51" t="s">
        <v>275</v>
      </c>
      <c r="D51" s="83">
        <v>3260843.08</v>
      </c>
      <c r="E51" s="83">
        <v>264450.40999999997</v>
      </c>
      <c r="F51" s="84">
        <v>8.8300000000000003E-2</v>
      </c>
      <c r="G51" s="84">
        <v>-4.0800000000000003E-2</v>
      </c>
    </row>
    <row r="52" spans="3:7" x14ac:dyDescent="0.25">
      <c r="C52" t="s">
        <v>276</v>
      </c>
      <c r="D52" s="83">
        <v>2938949.7</v>
      </c>
      <c r="E52" s="83">
        <v>-321893.38</v>
      </c>
      <c r="F52" s="84">
        <v>-9.8699999999999996E-2</v>
      </c>
      <c r="G52" s="84">
        <v>-9.2399999999999996E-2</v>
      </c>
    </row>
    <row r="53" spans="3:7" x14ac:dyDescent="0.25">
      <c r="C53" t="s">
        <v>277</v>
      </c>
      <c r="D53" s="83">
        <v>3114488.1</v>
      </c>
      <c r="E53" s="83">
        <v>175538.4</v>
      </c>
      <c r="F53" s="84">
        <v>5.9700000000000003E-2</v>
      </c>
      <c r="G53" s="84">
        <v>8.1299999999999997E-2</v>
      </c>
    </row>
    <row r="54" spans="3:7" x14ac:dyDescent="0.25">
      <c r="C54" t="s">
        <v>278</v>
      </c>
      <c r="D54" s="83">
        <v>3778807.95</v>
      </c>
      <c r="E54" s="83">
        <v>664319.85</v>
      </c>
      <c r="F54" s="84">
        <v>0.21329999999999999</v>
      </c>
      <c r="G54" s="84">
        <v>5.5599999999999997E-2</v>
      </c>
    </row>
    <row r="55" spans="3:7" x14ac:dyDescent="0.25">
      <c r="C55" t="s">
        <v>279</v>
      </c>
      <c r="D55" s="83">
        <v>3529472.37</v>
      </c>
      <c r="E55" s="83">
        <v>-249335.58</v>
      </c>
      <c r="F55" s="84">
        <v>-6.6000000000000003E-2</v>
      </c>
      <c r="G55" s="84">
        <v>-5.7599999999999998E-2</v>
      </c>
    </row>
    <row r="56" spans="3:7" x14ac:dyDescent="0.25">
      <c r="C56" t="s">
        <v>280</v>
      </c>
      <c r="D56" s="83">
        <v>4126824.25</v>
      </c>
      <c r="E56" s="83">
        <v>597351.88</v>
      </c>
      <c r="F56" s="84">
        <v>0.16919999999999999</v>
      </c>
      <c r="G56" s="84">
        <v>6.2899999999999998E-2</v>
      </c>
    </row>
    <row r="57" spans="3:7" x14ac:dyDescent="0.25">
      <c r="C57" t="s">
        <v>281</v>
      </c>
      <c r="D57" s="83">
        <v>3941734.3</v>
      </c>
      <c r="E57" s="83">
        <v>-185089.95</v>
      </c>
      <c r="F57" s="84">
        <v>-4.4900000000000002E-2</v>
      </c>
      <c r="G57" s="84">
        <v>-2.5100000000000001E-2</v>
      </c>
    </row>
    <row r="58" spans="3:7" x14ac:dyDescent="0.25">
      <c r="C58" t="s">
        <v>282</v>
      </c>
      <c r="D58" s="83">
        <v>4078785.35</v>
      </c>
      <c r="E58" s="83">
        <v>137051.04999999999</v>
      </c>
      <c r="F58" s="84">
        <v>3.4799999999999998E-2</v>
      </c>
      <c r="G58" s="84">
        <v>3.7100000000000001E-2</v>
      </c>
    </row>
    <row r="59" spans="3:7" x14ac:dyDescent="0.25">
      <c r="C59" t="s">
        <v>283</v>
      </c>
      <c r="D59" s="83">
        <v>4121720.35</v>
      </c>
      <c r="E59" s="83">
        <v>42935</v>
      </c>
      <c r="F59" s="84">
        <v>1.0500000000000001E-2</v>
      </c>
      <c r="G59" s="84">
        <v>1.6E-2</v>
      </c>
    </row>
    <row r="60" spans="3:7" x14ac:dyDescent="0.25">
      <c r="C60" t="s">
        <v>284</v>
      </c>
      <c r="D60" s="83">
        <v>4391280.04</v>
      </c>
      <c r="E60" s="83">
        <v>269559.69</v>
      </c>
      <c r="F60" s="84">
        <v>6.54E-2</v>
      </c>
      <c r="G60" s="84">
        <v>4.5999999999999999E-3</v>
      </c>
    </row>
    <row r="61" spans="3:7" x14ac:dyDescent="0.25">
      <c r="C61" t="s">
        <v>285</v>
      </c>
      <c r="D61" s="83">
        <v>5083322.2699999996</v>
      </c>
      <c r="E61" s="83">
        <v>692042.23</v>
      </c>
      <c r="F61" s="84">
        <v>0.15759999999999999</v>
      </c>
      <c r="G61" s="84">
        <v>6.4799999999999996E-2</v>
      </c>
    </row>
    <row r="62" spans="3:7" x14ac:dyDescent="0.25">
      <c r="C62" t="s">
        <v>286</v>
      </c>
      <c r="D62" s="83">
        <v>5236487.2699999996</v>
      </c>
      <c r="E62" s="83">
        <v>153165</v>
      </c>
      <c r="F62" s="84">
        <v>3.0099999999999998E-2</v>
      </c>
      <c r="G62" s="84">
        <v>3.27E-2</v>
      </c>
    </row>
    <row r="63" spans="3:7" x14ac:dyDescent="0.25">
      <c r="C63" t="s">
        <v>287</v>
      </c>
      <c r="D63" s="83">
        <v>5242162.58</v>
      </c>
      <c r="E63" s="83">
        <v>5675.31</v>
      </c>
      <c r="F63" s="84">
        <v>1.1000000000000001E-3</v>
      </c>
      <c r="G63" s="84">
        <v>-1.6299999999999999E-2</v>
      </c>
    </row>
    <row r="64" spans="3:7" x14ac:dyDescent="0.25">
      <c r="C64" t="s">
        <v>288</v>
      </c>
      <c r="D64" s="83">
        <v>5064263.7</v>
      </c>
      <c r="E64" s="83">
        <v>-177898.88</v>
      </c>
      <c r="F64" s="84">
        <v>-3.39E-2</v>
      </c>
      <c r="G64" s="84">
        <v>-4.7399999999999998E-2</v>
      </c>
    </row>
    <row r="65" spans="3:7" x14ac:dyDescent="0.25">
      <c r="C65" t="s">
        <v>289</v>
      </c>
      <c r="D65" s="83">
        <v>4500000.47</v>
      </c>
      <c r="E65" s="83">
        <v>-564263.23</v>
      </c>
      <c r="F65" s="84">
        <v>-0.1114</v>
      </c>
      <c r="G65" s="84">
        <v>-2.1700000000000001E-2</v>
      </c>
    </row>
    <row r="66" spans="3:7" x14ac:dyDescent="0.25">
      <c r="C66" t="s">
        <v>290</v>
      </c>
      <c r="D66" s="83">
        <v>4871847.47</v>
      </c>
      <c r="E66" s="83">
        <v>371847</v>
      </c>
      <c r="F66" s="84">
        <v>8.2600000000000007E-2</v>
      </c>
      <c r="G66" s="84">
        <v>9.1300000000000006E-2</v>
      </c>
    </row>
    <row r="67" spans="3:7" x14ac:dyDescent="0.25">
      <c r="C67" t="s">
        <v>291</v>
      </c>
      <c r="D67" s="83">
        <v>4971827.0199999996</v>
      </c>
      <c r="E67" s="83">
        <v>99979.55</v>
      </c>
      <c r="F67" s="84">
        <v>2.0500000000000001E-2</v>
      </c>
      <c r="G67" s="84">
        <v>4.5699999999999998E-2</v>
      </c>
    </row>
    <row r="68" spans="3:7" x14ac:dyDescent="0.25">
      <c r="C68" t="s">
        <v>292</v>
      </c>
      <c r="D68" s="83">
        <v>4734713.2300000004</v>
      </c>
      <c r="E68" s="83">
        <v>-237113.79</v>
      </c>
      <c r="F68" s="84">
        <v>-4.7699999999999999E-2</v>
      </c>
      <c r="G68" s="84">
        <v>1.5900000000000001E-2</v>
      </c>
    </row>
    <row r="69" spans="3:7" x14ac:dyDescent="0.25">
      <c r="C69" t="s">
        <v>293</v>
      </c>
      <c r="D69" s="83">
        <v>4725957.2699999996</v>
      </c>
      <c r="E69" s="83">
        <v>-8755.9599999999991</v>
      </c>
      <c r="F69" s="84">
        <v>-1.8E-3</v>
      </c>
      <c r="G69" s="84">
        <v>5.2200000000000003E-2</v>
      </c>
    </row>
    <row r="70" spans="3:7" x14ac:dyDescent="0.25">
      <c r="C70" t="s">
        <v>294</v>
      </c>
      <c r="D70" s="83">
        <v>4765050.3600000003</v>
      </c>
      <c r="E70" s="83">
        <v>39093.089999999997</v>
      </c>
      <c r="F70" s="84">
        <v>8.3000000000000001E-3</v>
      </c>
      <c r="G70" s="84">
        <v>3.27E-2</v>
      </c>
    </row>
    <row r="71" spans="3:7" x14ac:dyDescent="0.25">
      <c r="C71" t="s">
        <v>295</v>
      </c>
      <c r="D71" s="83">
        <v>4783315.91</v>
      </c>
      <c r="E71" s="83">
        <v>18265.55</v>
      </c>
      <c r="F71" s="84">
        <v>3.8E-3</v>
      </c>
      <c r="G71" s="84">
        <v>-4.0300000000000002E-2</v>
      </c>
    </row>
    <row r="72" spans="3:7" x14ac:dyDescent="0.25">
      <c r="C72" t="s">
        <v>296</v>
      </c>
      <c r="D72" s="83">
        <v>5099018.22</v>
      </c>
      <c r="E72" s="83">
        <v>315702.31</v>
      </c>
      <c r="F72" s="84">
        <v>6.6000000000000003E-2</v>
      </c>
      <c r="G72" s="84">
        <v>5.0599999999999999E-2</v>
      </c>
    </row>
    <row r="73" spans="3:7" x14ac:dyDescent="0.25">
      <c r="C73" t="s">
        <v>297</v>
      </c>
      <c r="D73" s="83">
        <v>5009933.51</v>
      </c>
      <c r="E73" s="83">
        <v>-89084.71</v>
      </c>
      <c r="F73" s="84">
        <v>-1.7500000000000002E-2</v>
      </c>
      <c r="G73" s="84">
        <v>3.5299999999999998E-2</v>
      </c>
    </row>
    <row r="74" spans="3:7" x14ac:dyDescent="0.25">
      <c r="C74" t="s">
        <v>298</v>
      </c>
      <c r="D74" s="83">
        <v>4870233.49</v>
      </c>
      <c r="E74" s="83">
        <v>-139700.01999999999</v>
      </c>
      <c r="F74" s="84">
        <v>-2.7900000000000001E-2</v>
      </c>
      <c r="G74" s="84">
        <v>1.21E-2</v>
      </c>
    </row>
    <row r="75" spans="3:7" x14ac:dyDescent="0.25">
      <c r="C75" t="s">
        <v>299</v>
      </c>
      <c r="D75" s="83">
        <v>4694007.13</v>
      </c>
      <c r="E75" s="83">
        <v>-176226.36</v>
      </c>
      <c r="F75" s="84">
        <v>-3.6200000000000003E-2</v>
      </c>
      <c r="G75" s="84">
        <v>2.3400000000000001E-2</v>
      </c>
    </row>
    <row r="76" spans="3:7" x14ac:dyDescent="0.25">
      <c r="C76" t="s">
        <v>300</v>
      </c>
      <c r="D76" s="83">
        <v>4920968.5</v>
      </c>
      <c r="E76" s="83">
        <v>226961.37</v>
      </c>
      <c r="F76" s="84">
        <v>4.8399999999999999E-2</v>
      </c>
      <c r="G76" s="84">
        <v>2.1000000000000001E-2</v>
      </c>
    </row>
    <row r="77" spans="3:7" x14ac:dyDescent="0.25">
      <c r="C77" t="s">
        <v>301</v>
      </c>
      <c r="D77" s="83">
        <v>4652854.4800000004</v>
      </c>
      <c r="E77" s="83">
        <v>-268114.02</v>
      </c>
      <c r="F77" s="84">
        <v>-5.45E-2</v>
      </c>
      <c r="G77" s="84">
        <v>-8.8999999999999999E-3</v>
      </c>
    </row>
    <row r="78" spans="3:7" x14ac:dyDescent="0.25">
      <c r="C78" t="s">
        <v>302</v>
      </c>
      <c r="D78" s="83">
        <v>5069152.3899999997</v>
      </c>
      <c r="E78" s="83">
        <v>416297.91</v>
      </c>
      <c r="F78" s="84">
        <v>8.9499999999999996E-2</v>
      </c>
      <c r="G78" s="84">
        <v>5.96E-2</v>
      </c>
    </row>
    <row r="79" spans="3:7" x14ac:dyDescent="0.25">
      <c r="C79" t="s">
        <v>303</v>
      </c>
      <c r="D79" s="83">
        <v>4945586.26</v>
      </c>
      <c r="E79" s="83">
        <v>-123566.13</v>
      </c>
      <c r="F79" s="84">
        <v>-2.4400000000000002E-2</v>
      </c>
      <c r="G79" s="84">
        <v>-2.41E-2</v>
      </c>
    </row>
    <row r="80" spans="3:7" x14ac:dyDescent="0.25">
      <c r="C80" t="s">
        <v>304</v>
      </c>
      <c r="D80" s="83">
        <v>4850439.0599999996</v>
      </c>
      <c r="E80" s="83">
        <v>-95147.199999999997</v>
      </c>
      <c r="F80" s="84">
        <v>-1.9199999999999998E-2</v>
      </c>
      <c r="G80" s="84">
        <v>2.69E-2</v>
      </c>
    </row>
    <row r="81" spans="2:7" x14ac:dyDescent="0.25">
      <c r="C81" t="s">
        <v>305</v>
      </c>
      <c r="D81" s="83">
        <v>4834575.32</v>
      </c>
      <c r="E81" s="83">
        <v>-15863.74</v>
      </c>
      <c r="F81" s="84">
        <v>-3.3E-3</v>
      </c>
      <c r="G81" s="84">
        <v>-1.2699999999999999E-2</v>
      </c>
    </row>
    <row r="82" spans="2:7" x14ac:dyDescent="0.25">
      <c r="C82" t="s">
        <v>306</v>
      </c>
      <c r="D82" s="83">
        <v>4241678.37</v>
      </c>
      <c r="E82" s="83">
        <v>-592896.94999999995</v>
      </c>
      <c r="F82" s="84">
        <v>-0.1226</v>
      </c>
      <c r="G82" s="84">
        <v>-5.57E-2</v>
      </c>
    </row>
    <row r="83" spans="2:7" x14ac:dyDescent="0.25">
      <c r="C83" t="s">
        <v>307</v>
      </c>
      <c r="D83" s="83">
        <v>4683440.37</v>
      </c>
      <c r="E83" s="83">
        <v>441762</v>
      </c>
      <c r="F83" s="84">
        <v>0.1041</v>
      </c>
      <c r="G83" s="84">
        <v>-8.6999999999999994E-3</v>
      </c>
    </row>
    <row r="84" spans="2:7" x14ac:dyDescent="0.25">
      <c r="C84" t="s">
        <v>308</v>
      </c>
      <c r="D84" s="83">
        <v>5262718.22</v>
      </c>
      <c r="E84" s="83">
        <v>579277.85</v>
      </c>
      <c r="F84" s="84">
        <v>0.1237</v>
      </c>
      <c r="G84" s="84">
        <v>6.2799999999999995E-2</v>
      </c>
    </row>
    <row r="85" spans="2:7" x14ac:dyDescent="0.25">
      <c r="C85" t="s">
        <v>309</v>
      </c>
      <c r="D85" s="83">
        <v>6034186.6900000004</v>
      </c>
      <c r="E85" s="83">
        <v>771468.47</v>
      </c>
      <c r="F85" s="84">
        <v>0.14660000000000001</v>
      </c>
      <c r="G85" s="84">
        <v>5.1400000000000001E-2</v>
      </c>
    </row>
    <row r="86" spans="2:7" x14ac:dyDescent="0.25">
      <c r="C86" t="s">
        <v>310</v>
      </c>
      <c r="D86" s="83">
        <v>6676383.2599999998</v>
      </c>
      <c r="E86" s="83">
        <v>642196.56999999995</v>
      </c>
      <c r="F86" s="84">
        <v>0.10639999999999999</v>
      </c>
      <c r="G86" s="84">
        <v>2.3E-2</v>
      </c>
    </row>
    <row r="87" spans="2:7" x14ac:dyDescent="0.25">
      <c r="C87" t="s">
        <v>311</v>
      </c>
      <c r="D87" s="83">
        <v>6992119.9500000002</v>
      </c>
      <c r="E87" s="83">
        <v>315736.69</v>
      </c>
      <c r="F87" s="84">
        <v>4.7300000000000002E-2</v>
      </c>
      <c r="G87" s="84">
        <v>2.0500000000000001E-2</v>
      </c>
    </row>
    <row r="88" spans="2:7" x14ac:dyDescent="0.25">
      <c r="C88" t="s">
        <v>312</v>
      </c>
      <c r="D88" s="83">
        <v>7497410.79</v>
      </c>
      <c r="E88" s="83">
        <v>505290.84</v>
      </c>
      <c r="F88" s="84">
        <v>7.2300000000000003E-2</v>
      </c>
      <c r="G88" s="84">
        <v>3.56E-2</v>
      </c>
    </row>
    <row r="89" spans="2:7" x14ac:dyDescent="0.25">
      <c r="C89" t="s">
        <v>313</v>
      </c>
      <c r="D89" s="83">
        <v>7568651.8399999999</v>
      </c>
      <c r="E89" s="83">
        <v>71241.05</v>
      </c>
      <c r="F89" s="84">
        <v>9.4999999999999998E-3</v>
      </c>
      <c r="G89" s="84">
        <v>2.3800000000000002E-2</v>
      </c>
    </row>
    <row r="90" spans="2:7" x14ac:dyDescent="0.25">
      <c r="E90" s="118">
        <f>SUM(E20:E89)</f>
        <v>6568651.8399999989</v>
      </c>
    </row>
    <row r="92" spans="2:7" x14ac:dyDescent="0.25">
      <c r="B92" t="s">
        <v>234</v>
      </c>
    </row>
    <row r="93" spans="2:7" x14ac:dyDescent="0.25">
      <c r="C93" t="s">
        <v>314</v>
      </c>
      <c r="D93" t="s">
        <v>236</v>
      </c>
      <c r="E93" t="s">
        <v>315</v>
      </c>
      <c r="F93" t="s">
        <v>316</v>
      </c>
      <c r="G93" t="s">
        <v>239</v>
      </c>
    </row>
    <row r="94" spans="2:7" x14ac:dyDescent="0.25">
      <c r="C94" t="s">
        <v>240</v>
      </c>
      <c r="D94" t="s">
        <v>241</v>
      </c>
      <c r="E94" t="s">
        <v>46</v>
      </c>
      <c r="F94" t="s">
        <v>242</v>
      </c>
      <c r="G94" t="s">
        <v>243</v>
      </c>
    </row>
    <row r="95" spans="2:7" x14ac:dyDescent="0.25">
      <c r="C95">
        <v>2020</v>
      </c>
      <c r="D95" s="83">
        <v>1984464.49</v>
      </c>
      <c r="E95" s="83">
        <v>984464.49</v>
      </c>
      <c r="F95" s="84">
        <v>0.98450000000000004</v>
      </c>
      <c r="G95" s="84">
        <v>0.1724</v>
      </c>
    </row>
    <row r="96" spans="2:7" x14ac:dyDescent="0.25">
      <c r="C96">
        <v>2021</v>
      </c>
      <c r="D96" s="83">
        <v>3214259.95</v>
      </c>
      <c r="E96" s="83">
        <v>1229795.46</v>
      </c>
      <c r="F96" s="84">
        <v>0.61970000000000003</v>
      </c>
      <c r="G96" s="84">
        <v>0.2873</v>
      </c>
    </row>
    <row r="97" spans="2:7" x14ac:dyDescent="0.25">
      <c r="C97">
        <v>2022</v>
      </c>
      <c r="D97" s="83">
        <v>3529472.37</v>
      </c>
      <c r="E97" s="83">
        <v>315212.42</v>
      </c>
      <c r="F97" s="84">
        <v>9.8100000000000007E-2</v>
      </c>
      <c r="G97" s="84">
        <v>-0.18179999999999999</v>
      </c>
    </row>
    <row r="98" spans="2:7" x14ac:dyDescent="0.25">
      <c r="C98">
        <v>2023</v>
      </c>
      <c r="D98" s="83">
        <v>4971827.0199999996</v>
      </c>
      <c r="E98" s="83">
        <v>1442354.65</v>
      </c>
      <c r="F98" s="84">
        <v>0.40870000000000001</v>
      </c>
      <c r="G98" s="84">
        <v>0.26179999999999998</v>
      </c>
    </row>
    <row r="99" spans="2:7" x14ac:dyDescent="0.25">
      <c r="C99">
        <v>2024</v>
      </c>
      <c r="D99" s="83">
        <v>4945586.26</v>
      </c>
      <c r="E99" s="83">
        <v>-26240.76</v>
      </c>
      <c r="F99" s="84">
        <v>-5.3E-3</v>
      </c>
      <c r="G99" s="84">
        <v>0.24890000000000001</v>
      </c>
    </row>
    <row r="100" spans="2:7" x14ac:dyDescent="0.25">
      <c r="C100">
        <v>2025</v>
      </c>
      <c r="D100" s="83">
        <v>7568651.8399999999</v>
      </c>
      <c r="E100" s="83">
        <v>2623065.58</v>
      </c>
      <c r="F100" s="84">
        <v>0.53039999999999998</v>
      </c>
      <c r="G100" s="84">
        <v>0.17399999999999999</v>
      </c>
    </row>
    <row r="101" spans="2:7" x14ac:dyDescent="0.25">
      <c r="E101" s="118">
        <f>SUM(E95:E100)</f>
        <v>6568651.8399999999</v>
      </c>
    </row>
    <row r="103" spans="2:7" x14ac:dyDescent="0.25">
      <c r="B103" t="s">
        <v>346</v>
      </c>
    </row>
    <row r="104" spans="2:7" x14ac:dyDescent="0.25">
      <c r="C104" t="s">
        <v>1212</v>
      </c>
      <c r="D104" t="s">
        <v>1213</v>
      </c>
      <c r="E104" t="s">
        <v>1214</v>
      </c>
      <c r="F104" t="s">
        <v>1215</v>
      </c>
      <c r="G104" t="s">
        <v>322</v>
      </c>
    </row>
    <row r="105" spans="2:7" x14ac:dyDescent="0.25">
      <c r="C105" t="s">
        <v>323</v>
      </c>
      <c r="D105" t="s">
        <v>39</v>
      </c>
      <c r="E105" t="s">
        <v>324</v>
      </c>
      <c r="F105" t="s">
        <v>325</v>
      </c>
      <c r="G105" t="s">
        <v>243</v>
      </c>
    </row>
    <row r="106" spans="2:7" x14ac:dyDescent="0.25">
      <c r="C106" t="s">
        <v>1216</v>
      </c>
      <c r="D106">
        <v>256</v>
      </c>
      <c r="E106" s="84">
        <v>0.42520000000000002</v>
      </c>
      <c r="F106" s="83">
        <v>5746056.5099999998</v>
      </c>
      <c r="G106" s="84">
        <v>0.999</v>
      </c>
    </row>
    <row r="107" spans="2:7" x14ac:dyDescent="0.25">
      <c r="C107" t="s">
        <v>1217</v>
      </c>
      <c r="D107">
        <v>78</v>
      </c>
      <c r="E107" s="84">
        <v>0.12959999999999999</v>
      </c>
      <c r="F107" s="83">
        <v>2327024.6400000001</v>
      </c>
      <c r="G107" s="84">
        <v>0</v>
      </c>
    </row>
    <row r="108" spans="2:7" x14ac:dyDescent="0.25">
      <c r="C108" t="s">
        <v>350</v>
      </c>
      <c r="D108">
        <v>80</v>
      </c>
      <c r="E108" s="84">
        <v>0.13289999999999999</v>
      </c>
      <c r="F108" s="83">
        <v>-1151204.7</v>
      </c>
      <c r="G108" s="84">
        <v>-0.123</v>
      </c>
    </row>
    <row r="109" spans="2:7" x14ac:dyDescent="0.25">
      <c r="C109" t="s">
        <v>1218</v>
      </c>
      <c r="D109">
        <v>188</v>
      </c>
      <c r="E109" s="84">
        <v>0.31230000000000002</v>
      </c>
      <c r="F109" s="83">
        <v>-994197</v>
      </c>
      <c r="G109" s="84">
        <v>-0.10630000000000001</v>
      </c>
    </row>
    <row r="110" spans="2:7" x14ac:dyDescent="0.25">
      <c r="C110" t="s">
        <v>323</v>
      </c>
      <c r="D110" t="s">
        <v>39</v>
      </c>
      <c r="E110" t="s">
        <v>324</v>
      </c>
      <c r="F110" t="s">
        <v>325</v>
      </c>
      <c r="G110" t="s">
        <v>243</v>
      </c>
    </row>
    <row r="111" spans="2:7" x14ac:dyDescent="0.25">
      <c r="C111" t="s">
        <v>1220</v>
      </c>
      <c r="D111">
        <v>602</v>
      </c>
      <c r="E111" s="84">
        <v>1</v>
      </c>
      <c r="F111" s="83">
        <v>5927679.4500000002</v>
      </c>
      <c r="G111" t="s">
        <v>375</v>
      </c>
    </row>
    <row r="112" spans="2:7" x14ac:dyDescent="0.25">
      <c r="C112" t="s">
        <v>332</v>
      </c>
      <c r="D112" t="s">
        <v>325</v>
      </c>
      <c r="E112" t="s">
        <v>17</v>
      </c>
      <c r="F112" t="s">
        <v>325</v>
      </c>
      <c r="G112" t="s">
        <v>243</v>
      </c>
    </row>
    <row r="113" spans="2:14" x14ac:dyDescent="0.25">
      <c r="C113" t="s">
        <v>1221</v>
      </c>
      <c r="D113">
        <v>615</v>
      </c>
      <c r="E113" t="s">
        <v>1222</v>
      </c>
      <c r="F113" t="s">
        <v>1223</v>
      </c>
      <c r="G113" t="s">
        <v>375</v>
      </c>
    </row>
    <row r="115" spans="2:14" x14ac:dyDescent="0.25">
      <c r="H115" s="86">
        <f>SUM(H118:H719)</f>
        <v>19533770.32</v>
      </c>
      <c r="K115" s="86">
        <f>SUM(K118:K719)</f>
        <v>13593125.029999994</v>
      </c>
      <c r="M115" s="86">
        <f>SUM(M118:M719)</f>
        <v>5927679.450000003</v>
      </c>
    </row>
    <row r="116" spans="2:14" x14ac:dyDescent="0.25">
      <c r="B116" t="s">
        <v>1224</v>
      </c>
    </row>
    <row r="117" spans="2:14" ht="15.75" thickBot="1" x14ac:dyDescent="0.3">
      <c r="C117" s="119" t="s">
        <v>377</v>
      </c>
      <c r="D117" t="s">
        <v>378</v>
      </c>
      <c r="E117" t="s">
        <v>379</v>
      </c>
      <c r="F117" t="s">
        <v>380</v>
      </c>
      <c r="G117" t="s">
        <v>381</v>
      </c>
      <c r="H117" t="s">
        <v>382</v>
      </c>
      <c r="I117" t="s">
        <v>383</v>
      </c>
      <c r="J117" t="s">
        <v>384</v>
      </c>
      <c r="K117" t="s">
        <v>385</v>
      </c>
      <c r="L117" t="s">
        <v>386</v>
      </c>
      <c r="M117" t="s">
        <v>387</v>
      </c>
      <c r="N117" t="s">
        <v>388</v>
      </c>
    </row>
    <row r="118" spans="2:14" x14ac:dyDescent="0.25">
      <c r="C118" s="94">
        <v>1</v>
      </c>
      <c r="D118" s="95" t="s">
        <v>435</v>
      </c>
      <c r="E118" s="95">
        <v>14</v>
      </c>
      <c r="F118" s="95" t="s">
        <v>410</v>
      </c>
      <c r="G118" s="96">
        <v>7.3</v>
      </c>
      <c r="H118" s="96">
        <v>10220</v>
      </c>
      <c r="I118" s="95" t="s">
        <v>463</v>
      </c>
      <c r="J118" s="96">
        <v>0</v>
      </c>
      <c r="K118" s="96">
        <v>0</v>
      </c>
      <c r="L118" s="95" t="s">
        <v>465</v>
      </c>
      <c r="M118" s="95">
        <v>10210.620000000001</v>
      </c>
      <c r="N118" s="120">
        <v>0.12640000000000001</v>
      </c>
    </row>
    <row r="119" spans="2:14" x14ac:dyDescent="0.25">
      <c r="C119" s="99">
        <v>2</v>
      </c>
      <c r="D119" s="100" t="s">
        <v>435</v>
      </c>
      <c r="E119" s="100">
        <v>14</v>
      </c>
      <c r="F119" s="100" t="s">
        <v>464</v>
      </c>
      <c r="G119" s="101">
        <v>7.4</v>
      </c>
      <c r="H119" s="101">
        <v>10360</v>
      </c>
      <c r="I119" s="100" t="s">
        <v>463</v>
      </c>
      <c r="J119" s="101">
        <v>0</v>
      </c>
      <c r="K119" s="101">
        <v>0</v>
      </c>
      <c r="L119" s="100" t="s">
        <v>465</v>
      </c>
      <c r="M119" s="100">
        <v>10350.620000000001</v>
      </c>
      <c r="N119" s="121">
        <v>0.1181</v>
      </c>
    </row>
    <row r="120" spans="2:14" x14ac:dyDescent="0.25">
      <c r="C120" s="99">
        <v>3</v>
      </c>
      <c r="D120" s="100" t="s">
        <v>412</v>
      </c>
      <c r="E120" s="100">
        <v>4</v>
      </c>
      <c r="F120" s="100" t="s">
        <v>413</v>
      </c>
      <c r="G120" s="101">
        <v>19.600000000000001</v>
      </c>
      <c r="H120" s="101">
        <v>7840</v>
      </c>
      <c r="I120" s="100" t="s">
        <v>1324</v>
      </c>
      <c r="J120" s="101">
        <v>0</v>
      </c>
      <c r="K120" s="101">
        <v>0</v>
      </c>
      <c r="L120" s="100" t="s">
        <v>465</v>
      </c>
      <c r="M120" s="100">
        <v>7837.32</v>
      </c>
      <c r="N120" s="121">
        <v>9.7799999999999998E-2</v>
      </c>
    </row>
    <row r="121" spans="2:14" x14ac:dyDescent="0.25">
      <c r="C121" s="99">
        <v>4</v>
      </c>
      <c r="D121" s="100" t="s">
        <v>418</v>
      </c>
      <c r="E121" s="100">
        <v>23</v>
      </c>
      <c r="F121" s="100" t="s">
        <v>402</v>
      </c>
      <c r="G121" s="101">
        <v>4.3</v>
      </c>
      <c r="H121" s="101">
        <v>9890</v>
      </c>
      <c r="I121" s="100" t="s">
        <v>1324</v>
      </c>
      <c r="J121" s="101">
        <v>0</v>
      </c>
      <c r="K121" s="101">
        <v>0</v>
      </c>
      <c r="L121" s="100" t="s">
        <v>465</v>
      </c>
      <c r="M121" s="100">
        <v>9874.59</v>
      </c>
      <c r="N121" s="121">
        <v>9.3899999999999997E-2</v>
      </c>
    </row>
    <row r="122" spans="2:14" x14ac:dyDescent="0.25">
      <c r="C122" s="99">
        <v>5</v>
      </c>
      <c r="D122" s="100" t="s">
        <v>396</v>
      </c>
      <c r="E122" s="100">
        <v>27</v>
      </c>
      <c r="F122" s="100" t="s">
        <v>409</v>
      </c>
      <c r="G122" s="101">
        <v>3.6</v>
      </c>
      <c r="H122" s="101">
        <v>9720</v>
      </c>
      <c r="I122" s="100" t="s">
        <v>1241</v>
      </c>
      <c r="J122" s="101">
        <v>0</v>
      </c>
      <c r="K122" s="101">
        <v>0</v>
      </c>
      <c r="L122" s="100" t="s">
        <v>465</v>
      </c>
      <c r="M122" s="100">
        <v>9701.91</v>
      </c>
      <c r="N122" s="121">
        <v>0.1109</v>
      </c>
    </row>
    <row r="123" spans="2:14" x14ac:dyDescent="0.25">
      <c r="C123" s="99">
        <v>6</v>
      </c>
      <c r="D123" s="100" t="s">
        <v>396</v>
      </c>
      <c r="E123" s="100">
        <v>22</v>
      </c>
      <c r="F123" s="100" t="s">
        <v>405</v>
      </c>
      <c r="G123" s="101">
        <v>4.3499999999999996</v>
      </c>
      <c r="H123" s="101">
        <v>9570</v>
      </c>
      <c r="I123" s="100" t="s">
        <v>1241</v>
      </c>
      <c r="J123" s="101">
        <v>0</v>
      </c>
      <c r="K123" s="101">
        <v>0</v>
      </c>
      <c r="L123" s="100" t="s">
        <v>465</v>
      </c>
      <c r="M123" s="100">
        <v>9555.26</v>
      </c>
      <c r="N123" s="121">
        <v>0.14169999999999999</v>
      </c>
    </row>
    <row r="124" spans="2:14" x14ac:dyDescent="0.25">
      <c r="C124" s="99">
        <v>7</v>
      </c>
      <c r="D124" s="100" t="s">
        <v>400</v>
      </c>
      <c r="E124" s="100">
        <v>4</v>
      </c>
      <c r="F124" s="100" t="s">
        <v>401</v>
      </c>
      <c r="G124" s="101">
        <v>22.1</v>
      </c>
      <c r="H124" s="101">
        <v>8840</v>
      </c>
      <c r="I124" s="100" t="s">
        <v>1241</v>
      </c>
      <c r="J124" s="101">
        <v>0</v>
      </c>
      <c r="K124" s="101">
        <v>0</v>
      </c>
      <c r="L124" s="100" t="s">
        <v>465</v>
      </c>
      <c r="M124" s="100">
        <v>8837.32</v>
      </c>
      <c r="N124" s="121">
        <v>9.9099999999999994E-2</v>
      </c>
    </row>
    <row r="125" spans="2:14" x14ac:dyDescent="0.25">
      <c r="C125" s="99">
        <v>8</v>
      </c>
      <c r="D125" s="100" t="s">
        <v>396</v>
      </c>
      <c r="E125" s="100">
        <v>19</v>
      </c>
      <c r="F125" s="100" t="s">
        <v>397</v>
      </c>
      <c r="G125" s="101">
        <v>4.8</v>
      </c>
      <c r="H125" s="101">
        <v>9120</v>
      </c>
      <c r="I125" s="100" t="s">
        <v>1241</v>
      </c>
      <c r="J125" s="101">
        <v>0</v>
      </c>
      <c r="K125" s="101">
        <v>0</v>
      </c>
      <c r="L125" s="100" t="s">
        <v>465</v>
      </c>
      <c r="M125" s="100">
        <v>9107.27</v>
      </c>
      <c r="N125" s="121">
        <v>0.1762</v>
      </c>
    </row>
    <row r="126" spans="2:14" x14ac:dyDescent="0.25">
      <c r="C126" s="99">
        <v>9</v>
      </c>
      <c r="D126" s="100" t="s">
        <v>396</v>
      </c>
      <c r="E126" s="100">
        <v>23</v>
      </c>
      <c r="F126" s="100" t="s">
        <v>403</v>
      </c>
      <c r="G126" s="101">
        <v>4.2</v>
      </c>
      <c r="H126" s="101">
        <v>9660</v>
      </c>
      <c r="I126" s="100" t="s">
        <v>1241</v>
      </c>
      <c r="J126" s="101">
        <v>0</v>
      </c>
      <c r="K126" s="101">
        <v>0</v>
      </c>
      <c r="L126" s="100" t="s">
        <v>465</v>
      </c>
      <c r="M126" s="100">
        <v>9644.59</v>
      </c>
      <c r="N126" s="121">
        <v>0.14560000000000001</v>
      </c>
    </row>
    <row r="127" spans="2:14" x14ac:dyDescent="0.25">
      <c r="C127" s="99">
        <v>10</v>
      </c>
      <c r="D127" s="100" t="s">
        <v>396</v>
      </c>
      <c r="E127" s="100">
        <v>22</v>
      </c>
      <c r="F127" s="100" t="s">
        <v>411</v>
      </c>
      <c r="G127" s="101">
        <v>4.3499999999999996</v>
      </c>
      <c r="H127" s="101">
        <v>9570</v>
      </c>
      <c r="I127" s="100" t="s">
        <v>1241</v>
      </c>
      <c r="J127" s="101">
        <v>0</v>
      </c>
      <c r="K127" s="101">
        <v>0</v>
      </c>
      <c r="L127" s="100" t="s">
        <v>465</v>
      </c>
      <c r="M127" s="100">
        <v>9555.26</v>
      </c>
      <c r="N127" s="121">
        <v>0.13300000000000001</v>
      </c>
    </row>
    <row r="128" spans="2:14" x14ac:dyDescent="0.25">
      <c r="C128" s="99">
        <v>11</v>
      </c>
      <c r="D128" s="100" t="s">
        <v>407</v>
      </c>
      <c r="E128" s="100">
        <v>3</v>
      </c>
      <c r="F128" s="100" t="s">
        <v>408</v>
      </c>
      <c r="G128" s="101">
        <v>26.4</v>
      </c>
      <c r="H128" s="101">
        <v>7920</v>
      </c>
      <c r="I128" s="100" t="s">
        <v>567</v>
      </c>
      <c r="J128" s="101">
        <v>0</v>
      </c>
      <c r="K128" s="101">
        <v>0</v>
      </c>
      <c r="L128" s="100" t="s">
        <v>465</v>
      </c>
      <c r="M128" s="100">
        <v>7917.99</v>
      </c>
      <c r="N128" s="121">
        <v>0.10829999999999999</v>
      </c>
    </row>
    <row r="129" spans="3:14" x14ac:dyDescent="0.25">
      <c r="C129" s="99">
        <v>12</v>
      </c>
      <c r="D129" s="100" t="s">
        <v>415</v>
      </c>
      <c r="E129" s="100">
        <v>4</v>
      </c>
      <c r="F129" s="100" t="s">
        <v>416</v>
      </c>
      <c r="G129" s="101">
        <v>20.399999999999999</v>
      </c>
      <c r="H129" s="101">
        <v>8160</v>
      </c>
      <c r="I129" s="100" t="s">
        <v>567</v>
      </c>
      <c r="J129" s="101">
        <v>0</v>
      </c>
      <c r="K129" s="101">
        <v>0</v>
      </c>
      <c r="L129" s="100" t="s">
        <v>465</v>
      </c>
      <c r="M129" s="100">
        <v>8157.32</v>
      </c>
      <c r="N129" s="121">
        <v>9.7299999999999998E-2</v>
      </c>
    </row>
    <row r="130" spans="3:14" x14ac:dyDescent="0.25">
      <c r="C130" s="99">
        <v>13</v>
      </c>
      <c r="D130" s="100" t="s">
        <v>392</v>
      </c>
      <c r="E130" s="100">
        <v>4</v>
      </c>
      <c r="F130" s="100" t="s">
        <v>420</v>
      </c>
      <c r="G130" s="101">
        <v>22</v>
      </c>
      <c r="H130" s="101">
        <v>8800</v>
      </c>
      <c r="I130" s="100" t="s">
        <v>567</v>
      </c>
      <c r="J130" s="101">
        <v>0</v>
      </c>
      <c r="K130" s="101">
        <v>0</v>
      </c>
      <c r="L130" s="100" t="s">
        <v>465</v>
      </c>
      <c r="M130" s="100">
        <v>8797.32</v>
      </c>
      <c r="N130" s="121">
        <v>0.1111</v>
      </c>
    </row>
    <row r="131" spans="3:14" x14ac:dyDescent="0.25">
      <c r="C131" s="99">
        <v>14</v>
      </c>
      <c r="D131" s="100" t="s">
        <v>412</v>
      </c>
      <c r="E131" s="100">
        <v>5</v>
      </c>
      <c r="F131" s="100" t="s">
        <v>427</v>
      </c>
      <c r="G131" s="101">
        <v>18.3</v>
      </c>
      <c r="H131" s="101">
        <v>9150</v>
      </c>
      <c r="I131" s="100" t="s">
        <v>545</v>
      </c>
      <c r="J131" s="101">
        <v>0</v>
      </c>
      <c r="K131" s="101">
        <v>0</v>
      </c>
      <c r="L131" s="100" t="s">
        <v>465</v>
      </c>
      <c r="M131" s="100">
        <v>9146.65</v>
      </c>
      <c r="N131" s="121">
        <v>9.5399999999999999E-2</v>
      </c>
    </row>
    <row r="132" spans="3:14" x14ac:dyDescent="0.25">
      <c r="C132" s="99">
        <v>15</v>
      </c>
      <c r="D132" s="100" t="s">
        <v>421</v>
      </c>
      <c r="E132" s="100">
        <v>2</v>
      </c>
      <c r="F132" s="100" t="s">
        <v>1327</v>
      </c>
      <c r="G132" s="101">
        <v>40</v>
      </c>
      <c r="H132" s="101">
        <v>8000</v>
      </c>
      <c r="I132" s="100" t="s">
        <v>545</v>
      </c>
      <c r="J132" s="101">
        <v>0</v>
      </c>
      <c r="K132" s="101">
        <v>0</v>
      </c>
      <c r="L132" s="100" t="s">
        <v>465</v>
      </c>
      <c r="M132" s="100">
        <v>7998.66</v>
      </c>
      <c r="N132" s="121">
        <v>9.2999999999999999E-2</v>
      </c>
    </row>
    <row r="133" spans="3:14" x14ac:dyDescent="0.25">
      <c r="C133" s="99">
        <v>16</v>
      </c>
      <c r="D133" s="100" t="s">
        <v>458</v>
      </c>
      <c r="E133" s="100">
        <v>15</v>
      </c>
      <c r="F133" s="100" t="s">
        <v>459</v>
      </c>
      <c r="G133" s="101">
        <v>6.5</v>
      </c>
      <c r="H133" s="101">
        <v>9750</v>
      </c>
      <c r="I133" s="100" t="s">
        <v>545</v>
      </c>
      <c r="J133" s="101">
        <v>0</v>
      </c>
      <c r="K133" s="101">
        <v>0</v>
      </c>
      <c r="L133" s="100" t="s">
        <v>465</v>
      </c>
      <c r="M133" s="100">
        <v>9739.9500000000007</v>
      </c>
      <c r="N133" s="121">
        <v>9.4799999999999995E-2</v>
      </c>
    </row>
    <row r="134" spans="3:14" x14ac:dyDescent="0.25">
      <c r="C134" s="99">
        <v>17</v>
      </c>
      <c r="D134" s="100" t="s">
        <v>421</v>
      </c>
      <c r="E134" s="100">
        <v>2</v>
      </c>
      <c r="F134" s="100" t="s">
        <v>422</v>
      </c>
      <c r="G134" s="101">
        <v>40.6</v>
      </c>
      <c r="H134" s="101">
        <v>8120</v>
      </c>
      <c r="I134" s="100" t="s">
        <v>545</v>
      </c>
      <c r="J134" s="101">
        <v>0</v>
      </c>
      <c r="K134" s="101">
        <v>0</v>
      </c>
      <c r="L134" s="100" t="s">
        <v>465</v>
      </c>
      <c r="M134" s="100">
        <v>8118.66</v>
      </c>
      <c r="N134" s="121">
        <v>9.2399999999999996E-2</v>
      </c>
    </row>
    <row r="135" spans="3:14" x14ac:dyDescent="0.25">
      <c r="C135" s="99">
        <v>18</v>
      </c>
      <c r="D135" s="100" t="s">
        <v>418</v>
      </c>
      <c r="E135" s="100">
        <v>19</v>
      </c>
      <c r="F135" s="100" t="s">
        <v>491</v>
      </c>
      <c r="G135" s="101">
        <v>5.2</v>
      </c>
      <c r="H135" s="101">
        <v>9880</v>
      </c>
      <c r="I135" s="100" t="s">
        <v>545</v>
      </c>
      <c r="J135" s="101">
        <v>0</v>
      </c>
      <c r="K135" s="101">
        <v>0</v>
      </c>
      <c r="L135" s="100" t="s">
        <v>465</v>
      </c>
      <c r="M135" s="100">
        <v>9867.27</v>
      </c>
      <c r="N135" s="121">
        <v>0.1043</v>
      </c>
    </row>
    <row r="136" spans="3:14" x14ac:dyDescent="0.25">
      <c r="C136" s="99">
        <v>19</v>
      </c>
      <c r="D136" s="100" t="s">
        <v>458</v>
      </c>
      <c r="E136" s="100">
        <v>12</v>
      </c>
      <c r="F136" s="100" t="s">
        <v>544</v>
      </c>
      <c r="G136" s="101">
        <v>10.8</v>
      </c>
      <c r="H136" s="101">
        <v>12960</v>
      </c>
      <c r="I136" s="100" t="s">
        <v>545</v>
      </c>
      <c r="J136" s="101">
        <v>0</v>
      </c>
      <c r="K136" s="101">
        <v>0</v>
      </c>
      <c r="L136" s="100" t="s">
        <v>465</v>
      </c>
      <c r="M136" s="100">
        <v>12951.96</v>
      </c>
      <c r="N136" s="121">
        <v>0.11459999999999999</v>
      </c>
    </row>
    <row r="137" spans="3:14" x14ac:dyDescent="0.25">
      <c r="C137" s="99">
        <v>20</v>
      </c>
      <c r="D137" s="100" t="s">
        <v>415</v>
      </c>
      <c r="E137" s="100">
        <v>4</v>
      </c>
      <c r="F137" s="100" t="s">
        <v>424</v>
      </c>
      <c r="G137" s="101">
        <v>21.9</v>
      </c>
      <c r="H137" s="101">
        <v>8760</v>
      </c>
      <c r="I137" s="100" t="s">
        <v>550</v>
      </c>
      <c r="J137" s="101">
        <v>0</v>
      </c>
      <c r="K137" s="101">
        <v>0</v>
      </c>
      <c r="L137" s="100" t="s">
        <v>465</v>
      </c>
      <c r="M137" s="100">
        <v>8757.32</v>
      </c>
      <c r="N137" s="121">
        <v>0.1004</v>
      </c>
    </row>
    <row r="138" spans="3:14" x14ac:dyDescent="0.25">
      <c r="C138" s="99">
        <v>21</v>
      </c>
      <c r="D138" s="100" t="s">
        <v>415</v>
      </c>
      <c r="E138" s="100">
        <v>5</v>
      </c>
      <c r="F138" s="100" t="s">
        <v>419</v>
      </c>
      <c r="G138" s="101">
        <v>19.8</v>
      </c>
      <c r="H138" s="101">
        <v>9900</v>
      </c>
      <c r="I138" s="100" t="s">
        <v>550</v>
      </c>
      <c r="J138" s="101">
        <v>0</v>
      </c>
      <c r="K138" s="101">
        <v>0</v>
      </c>
      <c r="L138" s="100" t="s">
        <v>465</v>
      </c>
      <c r="M138" s="100">
        <v>9896.65</v>
      </c>
      <c r="N138" s="121">
        <v>9.4200000000000006E-2</v>
      </c>
    </row>
    <row r="139" spans="3:14" x14ac:dyDescent="0.25">
      <c r="C139" s="99">
        <v>22</v>
      </c>
      <c r="D139" s="100" t="s">
        <v>440</v>
      </c>
      <c r="E139" s="100">
        <v>7</v>
      </c>
      <c r="F139" s="100" t="s">
        <v>445</v>
      </c>
      <c r="G139" s="101">
        <v>14.6</v>
      </c>
      <c r="H139" s="101">
        <v>10220</v>
      </c>
      <c r="I139" s="100" t="s">
        <v>550</v>
      </c>
      <c r="J139" s="101">
        <v>0</v>
      </c>
      <c r="K139" s="101">
        <v>0</v>
      </c>
      <c r="L139" s="100" t="s">
        <v>465</v>
      </c>
      <c r="M139" s="100">
        <v>10215.31</v>
      </c>
      <c r="N139" s="121">
        <v>0.10390000000000001</v>
      </c>
    </row>
    <row r="140" spans="3:14" x14ac:dyDescent="0.25">
      <c r="C140" s="99">
        <v>23</v>
      </c>
      <c r="D140" s="100" t="s">
        <v>418</v>
      </c>
      <c r="E140" s="100">
        <v>17</v>
      </c>
      <c r="F140" s="100" t="s">
        <v>470</v>
      </c>
      <c r="G140" s="101">
        <v>5.6</v>
      </c>
      <c r="H140" s="101">
        <v>9520</v>
      </c>
      <c r="I140" s="100" t="s">
        <v>550</v>
      </c>
      <c r="J140" s="101">
        <v>0</v>
      </c>
      <c r="K140" s="101">
        <v>0</v>
      </c>
      <c r="L140" s="100" t="s">
        <v>465</v>
      </c>
      <c r="M140" s="100">
        <v>9508.61</v>
      </c>
      <c r="N140" s="121">
        <v>0.1193</v>
      </c>
    </row>
    <row r="141" spans="3:14" x14ac:dyDescent="0.25">
      <c r="C141" s="99">
        <v>24</v>
      </c>
      <c r="D141" s="100" t="s">
        <v>432</v>
      </c>
      <c r="E141" s="100">
        <v>7</v>
      </c>
      <c r="F141" s="100" t="s">
        <v>433</v>
      </c>
      <c r="G141" s="101">
        <v>13.15</v>
      </c>
      <c r="H141" s="101">
        <v>9205</v>
      </c>
      <c r="I141" s="100" t="s">
        <v>550</v>
      </c>
      <c r="J141" s="101">
        <v>0</v>
      </c>
      <c r="K141" s="101">
        <v>0</v>
      </c>
      <c r="L141" s="100" t="s">
        <v>465</v>
      </c>
      <c r="M141" s="100">
        <v>9200.31</v>
      </c>
      <c r="N141" s="121">
        <v>9.9699999999999997E-2</v>
      </c>
    </row>
    <row r="142" spans="3:14" x14ac:dyDescent="0.25">
      <c r="C142" s="99">
        <v>25</v>
      </c>
      <c r="D142" s="100" t="s">
        <v>447</v>
      </c>
      <c r="E142" s="100">
        <v>8</v>
      </c>
      <c r="F142" s="100" t="s">
        <v>448</v>
      </c>
      <c r="G142" s="101">
        <v>12.4</v>
      </c>
      <c r="H142" s="101">
        <v>9920</v>
      </c>
      <c r="I142" s="100" t="s">
        <v>550</v>
      </c>
      <c r="J142" s="101">
        <v>0</v>
      </c>
      <c r="K142" s="101">
        <v>0</v>
      </c>
      <c r="L142" s="100" t="s">
        <v>465</v>
      </c>
      <c r="M142" s="100">
        <v>9914.64</v>
      </c>
      <c r="N142" s="121">
        <v>0.10539999999999999</v>
      </c>
    </row>
    <row r="143" spans="3:14" x14ac:dyDescent="0.25">
      <c r="C143" s="99">
        <v>26</v>
      </c>
      <c r="D143" s="100" t="s">
        <v>415</v>
      </c>
      <c r="E143" s="100">
        <v>4</v>
      </c>
      <c r="F143" s="100" t="s">
        <v>425</v>
      </c>
      <c r="G143" s="101">
        <v>23</v>
      </c>
      <c r="H143" s="101">
        <v>9200</v>
      </c>
      <c r="I143" s="100" t="s">
        <v>550</v>
      </c>
      <c r="J143" s="101">
        <v>0</v>
      </c>
      <c r="K143" s="101">
        <v>0</v>
      </c>
      <c r="L143" s="100" t="s">
        <v>465</v>
      </c>
      <c r="M143" s="100">
        <v>9197.32</v>
      </c>
      <c r="N143" s="121">
        <v>0.1013</v>
      </c>
    </row>
    <row r="144" spans="3:14" x14ac:dyDescent="0.25">
      <c r="C144" s="99">
        <v>27</v>
      </c>
      <c r="D144" s="100" t="s">
        <v>437</v>
      </c>
      <c r="E144" s="100">
        <v>13</v>
      </c>
      <c r="F144" s="100" t="s">
        <v>438</v>
      </c>
      <c r="G144" s="101">
        <v>7.5</v>
      </c>
      <c r="H144" s="101">
        <v>9750</v>
      </c>
      <c r="I144" s="100" t="s">
        <v>550</v>
      </c>
      <c r="J144" s="101">
        <v>0</v>
      </c>
      <c r="K144" s="101">
        <v>0</v>
      </c>
      <c r="L144" s="100" t="s">
        <v>465</v>
      </c>
      <c r="M144" s="100">
        <v>9741.2900000000009</v>
      </c>
      <c r="N144" s="121">
        <v>0.10340000000000001</v>
      </c>
    </row>
    <row r="145" spans="3:14" x14ac:dyDescent="0.25">
      <c r="C145" s="99">
        <v>28</v>
      </c>
      <c r="D145" s="100" t="s">
        <v>392</v>
      </c>
      <c r="E145" s="100">
        <v>4</v>
      </c>
      <c r="F145" s="100" t="s">
        <v>487</v>
      </c>
      <c r="G145" s="101">
        <v>24.1</v>
      </c>
      <c r="H145" s="101">
        <v>9640</v>
      </c>
      <c r="I145" s="100" t="s">
        <v>550</v>
      </c>
      <c r="J145" s="101">
        <v>0</v>
      </c>
      <c r="K145" s="101">
        <v>0</v>
      </c>
      <c r="L145" s="100" t="s">
        <v>465</v>
      </c>
      <c r="M145" s="100">
        <v>9637.32</v>
      </c>
      <c r="N145" s="121">
        <v>0.123</v>
      </c>
    </row>
    <row r="146" spans="3:14" x14ac:dyDescent="0.25">
      <c r="C146" s="99">
        <v>29</v>
      </c>
      <c r="D146" s="100" t="s">
        <v>392</v>
      </c>
      <c r="E146" s="100">
        <v>4</v>
      </c>
      <c r="F146" s="100" t="s">
        <v>449</v>
      </c>
      <c r="G146" s="101">
        <v>23.8</v>
      </c>
      <c r="H146" s="101">
        <v>9520</v>
      </c>
      <c r="I146" s="100" t="s">
        <v>550</v>
      </c>
      <c r="J146" s="101">
        <v>0</v>
      </c>
      <c r="K146" s="101">
        <v>0</v>
      </c>
      <c r="L146" s="100" t="s">
        <v>465</v>
      </c>
      <c r="M146" s="100">
        <v>9517.32</v>
      </c>
      <c r="N146" s="121">
        <v>0.1278</v>
      </c>
    </row>
    <row r="147" spans="3:14" x14ac:dyDescent="0.25">
      <c r="C147" s="99">
        <v>30</v>
      </c>
      <c r="D147" s="100" t="s">
        <v>392</v>
      </c>
      <c r="E147" s="100">
        <v>4</v>
      </c>
      <c r="F147" s="100" t="s">
        <v>417</v>
      </c>
      <c r="G147" s="101">
        <v>21.6</v>
      </c>
      <c r="H147" s="101">
        <v>8640</v>
      </c>
      <c r="I147" s="100" t="s">
        <v>550</v>
      </c>
      <c r="J147" s="101">
        <v>0</v>
      </c>
      <c r="K147" s="101">
        <v>0</v>
      </c>
      <c r="L147" s="100" t="s">
        <v>465</v>
      </c>
      <c r="M147" s="100">
        <v>8637.32</v>
      </c>
      <c r="N147" s="121">
        <v>0.121</v>
      </c>
    </row>
    <row r="148" spans="3:14" x14ac:dyDescent="0.25">
      <c r="C148" s="99">
        <v>31</v>
      </c>
      <c r="D148" s="100" t="s">
        <v>396</v>
      </c>
      <c r="E148" s="100">
        <v>24</v>
      </c>
      <c r="F148" s="100" t="s">
        <v>456</v>
      </c>
      <c r="G148" s="101">
        <v>4.3</v>
      </c>
      <c r="H148" s="101">
        <v>10320</v>
      </c>
      <c r="I148" s="100" t="s">
        <v>550</v>
      </c>
      <c r="J148" s="101">
        <v>0</v>
      </c>
      <c r="K148" s="101">
        <v>0</v>
      </c>
      <c r="L148" s="100" t="s">
        <v>465</v>
      </c>
      <c r="M148" s="100">
        <v>10303.92</v>
      </c>
      <c r="N148" s="121">
        <v>0.1203</v>
      </c>
    </row>
    <row r="149" spans="3:14" x14ac:dyDescent="0.25">
      <c r="C149" s="99">
        <v>32</v>
      </c>
      <c r="D149" s="100" t="s">
        <v>482</v>
      </c>
      <c r="E149" s="100">
        <v>14</v>
      </c>
      <c r="F149" s="100" t="s">
        <v>423</v>
      </c>
      <c r="G149" s="101">
        <v>7.4</v>
      </c>
      <c r="H149" s="101">
        <v>10360</v>
      </c>
      <c r="I149" s="100" t="s">
        <v>550</v>
      </c>
      <c r="J149" s="101">
        <v>0</v>
      </c>
      <c r="K149" s="101">
        <v>0</v>
      </c>
      <c r="L149" s="100" t="s">
        <v>465</v>
      </c>
      <c r="M149" s="100">
        <v>10350.620000000001</v>
      </c>
      <c r="N149" s="121">
        <v>9.8400000000000001E-2</v>
      </c>
    </row>
    <row r="150" spans="3:14" x14ac:dyDescent="0.25">
      <c r="C150" s="99">
        <v>33</v>
      </c>
      <c r="D150" s="100" t="s">
        <v>453</v>
      </c>
      <c r="E150" s="100">
        <v>22</v>
      </c>
      <c r="F150" s="100" t="s">
        <v>426</v>
      </c>
      <c r="G150" s="101">
        <v>4.7</v>
      </c>
      <c r="H150" s="101">
        <v>10340</v>
      </c>
      <c r="I150" s="100" t="s">
        <v>550</v>
      </c>
      <c r="J150" s="101">
        <v>0</v>
      </c>
      <c r="K150" s="101">
        <v>0</v>
      </c>
      <c r="L150" s="100" t="s">
        <v>465</v>
      </c>
      <c r="M150" s="100">
        <v>10325.26</v>
      </c>
      <c r="N150" s="121">
        <v>9.3299999999999994E-2</v>
      </c>
    </row>
    <row r="151" spans="3:14" x14ac:dyDescent="0.25">
      <c r="C151" s="99">
        <v>34</v>
      </c>
      <c r="D151" s="100" t="s">
        <v>392</v>
      </c>
      <c r="E151" s="100">
        <v>5</v>
      </c>
      <c r="F151" s="100" t="s">
        <v>428</v>
      </c>
      <c r="G151" s="101">
        <v>18.100000000000001</v>
      </c>
      <c r="H151" s="101">
        <v>9050</v>
      </c>
      <c r="I151" s="100" t="s">
        <v>550</v>
      </c>
      <c r="J151" s="101">
        <v>0</v>
      </c>
      <c r="K151" s="101">
        <v>0</v>
      </c>
      <c r="L151" s="100" t="s">
        <v>465</v>
      </c>
      <c r="M151" s="100">
        <v>9046.65</v>
      </c>
      <c r="N151" s="121">
        <v>0.1023</v>
      </c>
    </row>
    <row r="152" spans="3:14" x14ac:dyDescent="0.25">
      <c r="C152" s="99">
        <v>35</v>
      </c>
      <c r="D152" s="100" t="s">
        <v>482</v>
      </c>
      <c r="E152" s="100">
        <v>14</v>
      </c>
      <c r="F152" s="100" t="s">
        <v>454</v>
      </c>
      <c r="G152" s="101">
        <v>7.2</v>
      </c>
      <c r="H152" s="101">
        <v>10080</v>
      </c>
      <c r="I152" s="100" t="s">
        <v>550</v>
      </c>
      <c r="J152" s="101">
        <v>0</v>
      </c>
      <c r="K152" s="101">
        <v>0</v>
      </c>
      <c r="L152" s="100" t="s">
        <v>465</v>
      </c>
      <c r="M152" s="100">
        <v>10070.620000000001</v>
      </c>
      <c r="N152" s="121">
        <v>0.1023</v>
      </c>
    </row>
    <row r="153" spans="3:14" x14ac:dyDescent="0.25">
      <c r="C153" s="99">
        <v>36</v>
      </c>
      <c r="D153" s="100" t="s">
        <v>440</v>
      </c>
      <c r="E153" s="100">
        <v>3</v>
      </c>
      <c r="F153" s="100" t="s">
        <v>441</v>
      </c>
      <c r="G153" s="101">
        <v>28</v>
      </c>
      <c r="H153" s="101">
        <v>8400</v>
      </c>
      <c r="I153" s="100" t="s">
        <v>550</v>
      </c>
      <c r="J153" s="101">
        <v>0</v>
      </c>
      <c r="K153" s="101">
        <v>0</v>
      </c>
      <c r="L153" s="100" t="s">
        <v>465</v>
      </c>
      <c r="M153" s="100">
        <v>8397.99</v>
      </c>
      <c r="N153" s="121">
        <v>0.28860000000000002</v>
      </c>
    </row>
    <row r="154" spans="3:14" x14ac:dyDescent="0.25">
      <c r="C154" s="99">
        <v>37</v>
      </c>
      <c r="D154" s="100" t="s">
        <v>440</v>
      </c>
      <c r="E154" s="100">
        <v>5</v>
      </c>
      <c r="F154" s="100" t="s">
        <v>442</v>
      </c>
      <c r="G154" s="101">
        <v>21.5</v>
      </c>
      <c r="H154" s="101">
        <v>10750</v>
      </c>
      <c r="I154" s="100" t="s">
        <v>550</v>
      </c>
      <c r="J154" s="101">
        <v>0</v>
      </c>
      <c r="K154" s="101">
        <v>0</v>
      </c>
      <c r="L154" s="100" t="s">
        <v>465</v>
      </c>
      <c r="M154" s="100">
        <v>10746.65</v>
      </c>
      <c r="N154" s="121">
        <v>0.21820000000000001</v>
      </c>
    </row>
    <row r="155" spans="3:14" x14ac:dyDescent="0.25">
      <c r="C155" s="99">
        <v>38</v>
      </c>
      <c r="D155" s="100" t="s">
        <v>440</v>
      </c>
      <c r="E155" s="100">
        <v>5</v>
      </c>
      <c r="F155" s="100" t="s">
        <v>443</v>
      </c>
      <c r="G155" s="101">
        <v>18.600000000000001</v>
      </c>
      <c r="H155" s="101">
        <v>9300</v>
      </c>
      <c r="I155" s="100" t="s">
        <v>550</v>
      </c>
      <c r="J155" s="101">
        <v>0</v>
      </c>
      <c r="K155" s="101">
        <v>0</v>
      </c>
      <c r="L155" s="100" t="s">
        <v>465</v>
      </c>
      <c r="M155" s="100">
        <v>9296.65</v>
      </c>
      <c r="N155" s="121">
        <v>0.19289999999999999</v>
      </c>
    </row>
    <row r="156" spans="3:14" x14ac:dyDescent="0.25">
      <c r="C156" s="99">
        <v>39</v>
      </c>
      <c r="D156" s="100" t="s">
        <v>479</v>
      </c>
      <c r="E156" s="100">
        <v>25</v>
      </c>
      <c r="F156" s="100" t="s">
        <v>484</v>
      </c>
      <c r="G156" s="101">
        <v>4.3</v>
      </c>
      <c r="H156" s="101">
        <v>10750</v>
      </c>
      <c r="I156" s="100" t="s">
        <v>550</v>
      </c>
      <c r="J156" s="101">
        <v>0</v>
      </c>
      <c r="K156" s="101">
        <v>0</v>
      </c>
      <c r="L156" s="100" t="s">
        <v>465</v>
      </c>
      <c r="M156" s="100">
        <v>10733.25</v>
      </c>
      <c r="N156" s="121">
        <v>0.1055</v>
      </c>
    </row>
    <row r="157" spans="3:14" x14ac:dyDescent="0.25">
      <c r="C157" s="99">
        <v>40</v>
      </c>
      <c r="D157" s="100" t="s">
        <v>510</v>
      </c>
      <c r="E157" s="100">
        <v>5</v>
      </c>
      <c r="F157" s="100" t="s">
        <v>511</v>
      </c>
      <c r="G157" s="101">
        <v>20</v>
      </c>
      <c r="H157" s="101">
        <v>10000</v>
      </c>
      <c r="I157" s="100" t="s">
        <v>550</v>
      </c>
      <c r="J157" s="101">
        <v>0</v>
      </c>
      <c r="K157" s="101">
        <v>0</v>
      </c>
      <c r="L157" s="100" t="s">
        <v>465</v>
      </c>
      <c r="M157" s="100">
        <v>9996.65</v>
      </c>
      <c r="N157" s="121">
        <v>0.15379999999999999</v>
      </c>
    </row>
    <row r="158" spans="3:14" x14ac:dyDescent="0.25">
      <c r="C158" s="99">
        <v>41</v>
      </c>
      <c r="D158" s="100" t="s">
        <v>461</v>
      </c>
      <c r="E158" s="100">
        <v>5</v>
      </c>
      <c r="F158" s="100" t="s">
        <v>462</v>
      </c>
      <c r="G158" s="101">
        <v>20.7</v>
      </c>
      <c r="H158" s="101">
        <v>10350</v>
      </c>
      <c r="I158" s="100" t="s">
        <v>550</v>
      </c>
      <c r="J158" s="101">
        <v>0</v>
      </c>
      <c r="K158" s="101">
        <v>0</v>
      </c>
      <c r="L158" s="100" t="s">
        <v>465</v>
      </c>
      <c r="M158" s="100">
        <v>10346.65</v>
      </c>
      <c r="N158" s="121">
        <v>0.1154</v>
      </c>
    </row>
    <row r="159" spans="3:14" x14ac:dyDescent="0.25">
      <c r="C159" s="99">
        <v>42</v>
      </c>
      <c r="D159" s="100" t="s">
        <v>440</v>
      </c>
      <c r="E159" s="100">
        <v>8</v>
      </c>
      <c r="F159" s="100" t="s">
        <v>444</v>
      </c>
      <c r="G159" s="101">
        <v>13.15</v>
      </c>
      <c r="H159" s="101">
        <v>10520</v>
      </c>
      <c r="I159" s="100" t="s">
        <v>550</v>
      </c>
      <c r="J159" s="101">
        <v>0</v>
      </c>
      <c r="K159" s="101">
        <v>0</v>
      </c>
      <c r="L159" s="100" t="s">
        <v>465</v>
      </c>
      <c r="M159" s="100">
        <v>10514.64</v>
      </c>
      <c r="N159" s="121">
        <v>0.13569999999999999</v>
      </c>
    </row>
    <row r="160" spans="3:14" x14ac:dyDescent="0.25">
      <c r="C160" s="99">
        <v>43</v>
      </c>
      <c r="D160" s="100" t="s">
        <v>396</v>
      </c>
      <c r="E160" s="100">
        <v>24</v>
      </c>
      <c r="F160" s="100" t="s">
        <v>466</v>
      </c>
      <c r="G160" s="101">
        <v>4.4000000000000004</v>
      </c>
      <c r="H160" s="101">
        <v>10560</v>
      </c>
      <c r="I160" s="100" t="s">
        <v>550</v>
      </c>
      <c r="J160" s="101">
        <v>0</v>
      </c>
      <c r="K160" s="101">
        <v>0</v>
      </c>
      <c r="L160" s="100" t="s">
        <v>465</v>
      </c>
      <c r="M160" s="100">
        <v>10543.92</v>
      </c>
      <c r="N160" s="121">
        <v>0.1168</v>
      </c>
    </row>
    <row r="161" spans="3:14" x14ac:dyDescent="0.25">
      <c r="C161" s="99">
        <v>44</v>
      </c>
      <c r="D161" s="100" t="s">
        <v>392</v>
      </c>
      <c r="E161" s="100">
        <v>4</v>
      </c>
      <c r="F161" s="100" t="s">
        <v>431</v>
      </c>
      <c r="G161" s="101">
        <v>23.4</v>
      </c>
      <c r="H161" s="101">
        <v>9360</v>
      </c>
      <c r="I161" s="100" t="s">
        <v>550</v>
      </c>
      <c r="J161" s="101">
        <v>0</v>
      </c>
      <c r="K161" s="101">
        <v>0</v>
      </c>
      <c r="L161" s="100" t="s">
        <v>465</v>
      </c>
      <c r="M161" s="100">
        <v>9357.32</v>
      </c>
      <c r="N161" s="121">
        <v>0.1132</v>
      </c>
    </row>
    <row r="162" spans="3:14" x14ac:dyDescent="0.25">
      <c r="C162" s="99">
        <v>45</v>
      </c>
      <c r="D162" s="100" t="s">
        <v>1328</v>
      </c>
      <c r="E162" s="100">
        <v>26</v>
      </c>
      <c r="F162" s="100" t="s">
        <v>478</v>
      </c>
      <c r="G162" s="101">
        <v>4.3</v>
      </c>
      <c r="H162" s="101">
        <v>11180</v>
      </c>
      <c r="I162" s="100" t="s">
        <v>550</v>
      </c>
      <c r="J162" s="101">
        <v>0</v>
      </c>
      <c r="K162" s="101">
        <v>0</v>
      </c>
      <c r="L162" s="100" t="s">
        <v>465</v>
      </c>
      <c r="M162" s="100">
        <v>11162.58</v>
      </c>
      <c r="N162" s="121">
        <v>0.1203</v>
      </c>
    </row>
    <row r="163" spans="3:14" x14ac:dyDescent="0.25">
      <c r="C163" s="99">
        <v>46</v>
      </c>
      <c r="D163" s="100" t="s">
        <v>461</v>
      </c>
      <c r="E163" s="100">
        <v>5</v>
      </c>
      <c r="F163" s="100" t="s">
        <v>436</v>
      </c>
      <c r="G163" s="101">
        <v>21.9</v>
      </c>
      <c r="H163" s="101">
        <v>10950</v>
      </c>
      <c r="I163" s="100" t="s">
        <v>550</v>
      </c>
      <c r="J163" s="101">
        <v>0</v>
      </c>
      <c r="K163" s="101">
        <v>0</v>
      </c>
      <c r="L163" s="100" t="s">
        <v>465</v>
      </c>
      <c r="M163" s="100">
        <v>10946.65</v>
      </c>
      <c r="N163" s="121">
        <v>0.1105</v>
      </c>
    </row>
    <row r="164" spans="3:14" x14ac:dyDescent="0.25">
      <c r="C164" s="99">
        <v>47</v>
      </c>
      <c r="D164" s="100" t="s">
        <v>1329</v>
      </c>
      <c r="E164" s="100">
        <v>17</v>
      </c>
      <c r="F164" s="100" t="s">
        <v>439</v>
      </c>
      <c r="G164" s="101">
        <v>6.7</v>
      </c>
      <c r="H164" s="101">
        <v>11390</v>
      </c>
      <c r="I164" s="100" t="s">
        <v>550</v>
      </c>
      <c r="J164" s="101">
        <v>0</v>
      </c>
      <c r="K164" s="101">
        <v>0</v>
      </c>
      <c r="L164" s="100" t="s">
        <v>465</v>
      </c>
      <c r="M164" s="100">
        <v>11378.61</v>
      </c>
      <c r="N164" s="121">
        <v>0.1101</v>
      </c>
    </row>
    <row r="165" spans="3:14" x14ac:dyDescent="0.25">
      <c r="C165" s="99">
        <v>48</v>
      </c>
      <c r="D165" s="100" t="s">
        <v>1329</v>
      </c>
      <c r="E165" s="100">
        <v>18</v>
      </c>
      <c r="F165" s="100" t="s">
        <v>446</v>
      </c>
      <c r="G165" s="101">
        <v>6.5</v>
      </c>
      <c r="H165" s="101">
        <v>11700</v>
      </c>
      <c r="I165" s="100" t="s">
        <v>550</v>
      </c>
      <c r="J165" s="101">
        <v>0</v>
      </c>
      <c r="K165" s="101">
        <v>0</v>
      </c>
      <c r="L165" s="100" t="s">
        <v>465</v>
      </c>
      <c r="M165" s="100">
        <v>11687.94</v>
      </c>
      <c r="N165" s="121">
        <v>0.1023</v>
      </c>
    </row>
    <row r="166" spans="3:14" x14ac:dyDescent="0.25">
      <c r="C166" s="99">
        <v>49</v>
      </c>
      <c r="D166" s="100" t="s">
        <v>534</v>
      </c>
      <c r="E166" s="100">
        <v>9</v>
      </c>
      <c r="F166" s="100" t="s">
        <v>450</v>
      </c>
      <c r="G166" s="101">
        <v>13</v>
      </c>
      <c r="H166" s="101">
        <v>11700</v>
      </c>
      <c r="I166" s="100" t="s">
        <v>550</v>
      </c>
      <c r="J166" s="101">
        <v>0</v>
      </c>
      <c r="K166" s="101">
        <v>0</v>
      </c>
      <c r="L166" s="100" t="s">
        <v>465</v>
      </c>
      <c r="M166" s="100">
        <v>11693.97</v>
      </c>
      <c r="N166" s="121">
        <v>0.24990000000000001</v>
      </c>
    </row>
    <row r="167" spans="3:14" x14ac:dyDescent="0.25">
      <c r="C167" s="99">
        <v>50</v>
      </c>
      <c r="D167" s="100" t="s">
        <v>1329</v>
      </c>
      <c r="E167" s="100">
        <v>19</v>
      </c>
      <c r="F167" s="100" t="s">
        <v>500</v>
      </c>
      <c r="G167" s="101">
        <v>5.9</v>
      </c>
      <c r="H167" s="101">
        <v>11210</v>
      </c>
      <c r="I167" s="100" t="s">
        <v>550</v>
      </c>
      <c r="J167" s="101">
        <v>0</v>
      </c>
      <c r="K167" s="101">
        <v>0</v>
      </c>
      <c r="L167" s="100" t="s">
        <v>465</v>
      </c>
      <c r="M167" s="100">
        <v>11197.27</v>
      </c>
      <c r="N167" s="121">
        <v>9.9699999999999997E-2</v>
      </c>
    </row>
    <row r="168" spans="3:14" x14ac:dyDescent="0.25">
      <c r="C168" s="99">
        <v>51</v>
      </c>
      <c r="D168" s="100" t="s">
        <v>510</v>
      </c>
      <c r="E168" s="100">
        <v>4</v>
      </c>
      <c r="F168" s="100" t="s">
        <v>513</v>
      </c>
      <c r="G168" s="101">
        <v>21</v>
      </c>
      <c r="H168" s="101">
        <v>8400</v>
      </c>
      <c r="I168" s="100" t="s">
        <v>550</v>
      </c>
      <c r="J168" s="101">
        <v>0</v>
      </c>
      <c r="K168" s="101">
        <v>0</v>
      </c>
      <c r="L168" s="100" t="s">
        <v>465</v>
      </c>
      <c r="M168" s="100">
        <v>8397.32</v>
      </c>
      <c r="N168" s="121">
        <v>0.15670000000000001</v>
      </c>
    </row>
    <row r="169" spans="3:14" x14ac:dyDescent="0.25">
      <c r="C169" s="99">
        <v>52</v>
      </c>
      <c r="D169" s="100" t="s">
        <v>392</v>
      </c>
      <c r="E169" s="100">
        <v>5</v>
      </c>
      <c r="F169" s="100" t="s">
        <v>494</v>
      </c>
      <c r="G169" s="101">
        <v>21</v>
      </c>
      <c r="H169" s="101">
        <v>10500</v>
      </c>
      <c r="I169" s="100" t="s">
        <v>550</v>
      </c>
      <c r="J169" s="101">
        <v>0</v>
      </c>
      <c r="K169" s="101">
        <v>0</v>
      </c>
      <c r="L169" s="100" t="s">
        <v>465</v>
      </c>
      <c r="M169" s="100">
        <v>10496.65</v>
      </c>
      <c r="N169" s="121">
        <v>9.5899999999999999E-2</v>
      </c>
    </row>
    <row r="170" spans="3:14" x14ac:dyDescent="0.25">
      <c r="C170" s="99">
        <v>53</v>
      </c>
      <c r="D170" s="100" t="s">
        <v>461</v>
      </c>
      <c r="E170" s="100">
        <v>5</v>
      </c>
      <c r="F170" s="100" t="s">
        <v>485</v>
      </c>
      <c r="G170" s="101">
        <v>20.9</v>
      </c>
      <c r="H170" s="101">
        <v>10450</v>
      </c>
      <c r="I170" s="100" t="s">
        <v>550</v>
      </c>
      <c r="J170" s="101">
        <v>0</v>
      </c>
      <c r="K170" s="101">
        <v>0</v>
      </c>
      <c r="L170" s="100" t="s">
        <v>465</v>
      </c>
      <c r="M170" s="100">
        <v>10446.65</v>
      </c>
      <c r="N170" s="121">
        <v>0.1105</v>
      </c>
    </row>
    <row r="171" spans="3:14" x14ac:dyDescent="0.25">
      <c r="C171" s="99">
        <v>54</v>
      </c>
      <c r="D171" s="100" t="s">
        <v>499</v>
      </c>
      <c r="E171" s="100">
        <v>29</v>
      </c>
      <c r="F171" s="100" t="s">
        <v>480</v>
      </c>
      <c r="G171" s="101">
        <v>3.75</v>
      </c>
      <c r="H171" s="101">
        <v>10875</v>
      </c>
      <c r="I171" s="100" t="s">
        <v>550</v>
      </c>
      <c r="J171" s="101">
        <v>0</v>
      </c>
      <c r="K171" s="101">
        <v>0</v>
      </c>
      <c r="L171" s="100" t="s">
        <v>465</v>
      </c>
      <c r="M171" s="100">
        <v>10855.57</v>
      </c>
      <c r="N171" s="121">
        <v>9.7900000000000001E-2</v>
      </c>
    </row>
    <row r="172" spans="3:14" x14ac:dyDescent="0.25">
      <c r="C172" s="99">
        <v>55</v>
      </c>
      <c r="D172" s="100" t="s">
        <v>1329</v>
      </c>
      <c r="E172" s="100">
        <v>18</v>
      </c>
      <c r="F172" s="100" t="s">
        <v>455</v>
      </c>
      <c r="G172" s="101">
        <v>6.1</v>
      </c>
      <c r="H172" s="101">
        <v>10980</v>
      </c>
      <c r="I172" s="100" t="s">
        <v>550</v>
      </c>
      <c r="J172" s="101">
        <v>0</v>
      </c>
      <c r="K172" s="101">
        <v>0</v>
      </c>
      <c r="L172" s="100" t="s">
        <v>465</v>
      </c>
      <c r="M172" s="100">
        <v>10967.94</v>
      </c>
      <c r="N172" s="121">
        <v>0.108</v>
      </c>
    </row>
    <row r="173" spans="3:14" x14ac:dyDescent="0.25">
      <c r="C173" s="99">
        <v>56</v>
      </c>
      <c r="D173" s="100" t="s">
        <v>468</v>
      </c>
      <c r="E173" s="100">
        <v>10</v>
      </c>
      <c r="F173" s="100" t="s">
        <v>1330</v>
      </c>
      <c r="G173" s="101">
        <v>10.4</v>
      </c>
      <c r="H173" s="101">
        <v>10400</v>
      </c>
      <c r="I173" s="100" t="s">
        <v>550</v>
      </c>
      <c r="J173" s="101">
        <v>0</v>
      </c>
      <c r="K173" s="101">
        <v>0</v>
      </c>
      <c r="L173" s="100" t="s">
        <v>465</v>
      </c>
      <c r="M173" s="100">
        <v>10393.299999999999</v>
      </c>
      <c r="N173" s="121">
        <v>9.4799999999999995E-2</v>
      </c>
    </row>
    <row r="174" spans="3:14" x14ac:dyDescent="0.25">
      <c r="C174" s="99">
        <v>57</v>
      </c>
      <c r="D174" s="100" t="s">
        <v>736</v>
      </c>
      <c r="E174" s="100">
        <v>17</v>
      </c>
      <c r="F174" s="100" t="s">
        <v>1331</v>
      </c>
      <c r="G174" s="101">
        <v>7.1</v>
      </c>
      <c r="H174" s="101">
        <v>12070</v>
      </c>
      <c r="I174" s="100" t="s">
        <v>550</v>
      </c>
      <c r="J174" s="101">
        <v>0</v>
      </c>
      <c r="K174" s="101">
        <v>0</v>
      </c>
      <c r="L174" s="100" t="s">
        <v>465</v>
      </c>
      <c r="M174" s="100">
        <v>12058.61</v>
      </c>
      <c r="N174" s="121">
        <v>0.1128</v>
      </c>
    </row>
    <row r="175" spans="3:14" x14ac:dyDescent="0.25">
      <c r="C175" s="99">
        <v>58</v>
      </c>
      <c r="D175" s="100" t="s">
        <v>524</v>
      </c>
      <c r="E175" s="100">
        <v>24</v>
      </c>
      <c r="F175" s="100" t="s">
        <v>467</v>
      </c>
      <c r="G175" s="101">
        <v>5.0999999999999996</v>
      </c>
      <c r="H175" s="101">
        <v>12240</v>
      </c>
      <c r="I175" s="100" t="s">
        <v>550</v>
      </c>
      <c r="J175" s="101">
        <v>0</v>
      </c>
      <c r="K175" s="101">
        <v>0</v>
      </c>
      <c r="L175" s="100" t="s">
        <v>465</v>
      </c>
      <c r="M175" s="100">
        <v>12223.92</v>
      </c>
      <c r="N175" s="121">
        <v>0.15479999999999999</v>
      </c>
    </row>
    <row r="176" spans="3:14" x14ac:dyDescent="0.25">
      <c r="C176" s="99">
        <v>59</v>
      </c>
      <c r="D176" s="100" t="s">
        <v>524</v>
      </c>
      <c r="E176" s="100">
        <v>25</v>
      </c>
      <c r="F176" s="100" t="s">
        <v>1228</v>
      </c>
      <c r="G176" s="101">
        <v>4.8</v>
      </c>
      <c r="H176" s="101">
        <v>12000</v>
      </c>
      <c r="I176" s="100" t="s">
        <v>550</v>
      </c>
      <c r="J176" s="101">
        <v>0</v>
      </c>
      <c r="K176" s="101">
        <v>0</v>
      </c>
      <c r="L176" s="100" t="s">
        <v>465</v>
      </c>
      <c r="M176" s="100">
        <v>11983.25</v>
      </c>
      <c r="N176" s="121">
        <v>0.1489</v>
      </c>
    </row>
    <row r="177" spans="3:14" x14ac:dyDescent="0.25">
      <c r="C177" s="99">
        <v>60</v>
      </c>
      <c r="D177" s="100" t="s">
        <v>524</v>
      </c>
      <c r="E177" s="100">
        <v>28</v>
      </c>
      <c r="F177" s="100" t="s">
        <v>469</v>
      </c>
      <c r="G177" s="101">
        <v>4.3499999999999996</v>
      </c>
      <c r="H177" s="101">
        <v>12180</v>
      </c>
      <c r="I177" s="100" t="s">
        <v>550</v>
      </c>
      <c r="J177" s="101">
        <v>0</v>
      </c>
      <c r="K177" s="101">
        <v>0</v>
      </c>
      <c r="L177" s="100" t="s">
        <v>465</v>
      </c>
      <c r="M177" s="100">
        <v>12161.24</v>
      </c>
      <c r="N177" s="121">
        <v>0.13719999999999999</v>
      </c>
    </row>
    <row r="178" spans="3:14" x14ac:dyDescent="0.25">
      <c r="C178" s="99">
        <v>61</v>
      </c>
      <c r="D178" s="100" t="s">
        <v>524</v>
      </c>
      <c r="E178" s="100">
        <v>28</v>
      </c>
      <c r="F178" s="100" t="s">
        <v>471</v>
      </c>
      <c r="G178" s="101">
        <v>4.4000000000000004</v>
      </c>
      <c r="H178" s="101">
        <v>12320</v>
      </c>
      <c r="I178" s="100" t="s">
        <v>550</v>
      </c>
      <c r="J178" s="101">
        <v>0</v>
      </c>
      <c r="K178" s="101">
        <v>0</v>
      </c>
      <c r="L178" s="100" t="s">
        <v>465</v>
      </c>
      <c r="M178" s="100">
        <v>12301.24</v>
      </c>
      <c r="N178" s="121">
        <v>0.14360000000000001</v>
      </c>
    </row>
    <row r="179" spans="3:14" x14ac:dyDescent="0.25">
      <c r="C179" s="99">
        <v>62</v>
      </c>
      <c r="D179" s="100" t="s">
        <v>524</v>
      </c>
      <c r="E179" s="100">
        <v>37</v>
      </c>
      <c r="F179" s="100" t="s">
        <v>1332</v>
      </c>
      <c r="G179" s="101">
        <v>3.65</v>
      </c>
      <c r="H179" s="101">
        <v>13505</v>
      </c>
      <c r="I179" s="100" t="s">
        <v>550</v>
      </c>
      <c r="J179" s="101">
        <v>0</v>
      </c>
      <c r="K179" s="101">
        <v>0</v>
      </c>
      <c r="L179" s="100" t="s">
        <v>465</v>
      </c>
      <c r="M179" s="100">
        <v>13480.21</v>
      </c>
      <c r="N179" s="121">
        <v>0.1031</v>
      </c>
    </row>
    <row r="180" spans="3:14" x14ac:dyDescent="0.25">
      <c r="C180" s="99">
        <v>63</v>
      </c>
      <c r="D180" s="100" t="s">
        <v>534</v>
      </c>
      <c r="E180" s="100">
        <v>13</v>
      </c>
      <c r="F180" s="100" t="s">
        <v>1333</v>
      </c>
      <c r="G180" s="101">
        <v>10.15</v>
      </c>
      <c r="H180" s="101">
        <v>13195</v>
      </c>
      <c r="I180" s="100" t="s">
        <v>550</v>
      </c>
      <c r="J180" s="101">
        <v>0</v>
      </c>
      <c r="K180" s="101">
        <v>0</v>
      </c>
      <c r="L180" s="100" t="s">
        <v>465</v>
      </c>
      <c r="M180" s="100">
        <v>13186.29</v>
      </c>
      <c r="N180" s="121">
        <v>0.20349999999999999</v>
      </c>
    </row>
    <row r="181" spans="3:14" x14ac:dyDescent="0.25">
      <c r="C181" s="99">
        <v>64</v>
      </c>
      <c r="D181" s="100" t="s">
        <v>548</v>
      </c>
      <c r="E181" s="100">
        <v>19</v>
      </c>
      <c r="F181" s="100" t="s">
        <v>549</v>
      </c>
      <c r="G181" s="101">
        <v>7.6</v>
      </c>
      <c r="H181" s="101">
        <v>14440</v>
      </c>
      <c r="I181" s="100" t="s">
        <v>550</v>
      </c>
      <c r="J181" s="101">
        <v>0</v>
      </c>
      <c r="K181" s="101">
        <v>0</v>
      </c>
      <c r="L181" s="100" t="s">
        <v>465</v>
      </c>
      <c r="M181" s="100">
        <v>14427.27</v>
      </c>
      <c r="N181" s="121">
        <v>0.43640000000000001</v>
      </c>
    </row>
    <row r="182" spans="3:14" x14ac:dyDescent="0.25">
      <c r="C182" s="99">
        <v>65</v>
      </c>
      <c r="D182" s="100" t="s">
        <v>440</v>
      </c>
      <c r="E182" s="100">
        <v>12</v>
      </c>
      <c r="F182" s="100" t="s">
        <v>553</v>
      </c>
      <c r="G182" s="101">
        <v>11.3</v>
      </c>
      <c r="H182" s="101">
        <v>13560</v>
      </c>
      <c r="I182" s="100" t="s">
        <v>550</v>
      </c>
      <c r="J182" s="101">
        <v>0</v>
      </c>
      <c r="K182" s="101">
        <v>0</v>
      </c>
      <c r="L182" s="100" t="s">
        <v>465</v>
      </c>
      <c r="M182" s="100">
        <v>13551.96</v>
      </c>
      <c r="N182" s="121">
        <v>0.1205</v>
      </c>
    </row>
    <row r="183" spans="3:14" x14ac:dyDescent="0.25">
      <c r="C183" s="99">
        <v>66</v>
      </c>
      <c r="D183" s="100" t="s">
        <v>1329</v>
      </c>
      <c r="E183" s="100">
        <v>20</v>
      </c>
      <c r="F183" s="100" t="s">
        <v>451</v>
      </c>
      <c r="G183" s="101">
        <v>5.9</v>
      </c>
      <c r="H183" s="101">
        <v>11800</v>
      </c>
      <c r="I183" s="100" t="s">
        <v>1248</v>
      </c>
      <c r="J183" s="101">
        <v>0</v>
      </c>
      <c r="K183" s="101">
        <v>0</v>
      </c>
      <c r="L183" s="100" t="s">
        <v>465</v>
      </c>
      <c r="M183" s="100">
        <v>11786.6</v>
      </c>
      <c r="N183" s="121">
        <v>0.1089</v>
      </c>
    </row>
    <row r="184" spans="3:14" x14ac:dyDescent="0.25">
      <c r="C184" s="99">
        <v>67</v>
      </c>
      <c r="D184" s="100" t="s">
        <v>392</v>
      </c>
      <c r="E184" s="100">
        <v>4</v>
      </c>
      <c r="F184" s="100" t="s">
        <v>489</v>
      </c>
      <c r="G184" s="101">
        <v>23</v>
      </c>
      <c r="H184" s="101">
        <v>9200</v>
      </c>
      <c r="I184" s="100" t="s">
        <v>1248</v>
      </c>
      <c r="J184" s="101">
        <v>0</v>
      </c>
      <c r="K184" s="101">
        <v>0</v>
      </c>
      <c r="L184" s="100" t="s">
        <v>465</v>
      </c>
      <c r="M184" s="100">
        <v>9197.32</v>
      </c>
      <c r="N184" s="121">
        <v>0.106</v>
      </c>
    </row>
    <row r="185" spans="3:14" x14ac:dyDescent="0.25">
      <c r="C185" s="99">
        <v>68</v>
      </c>
      <c r="D185" s="100" t="s">
        <v>479</v>
      </c>
      <c r="E185" s="100">
        <v>26</v>
      </c>
      <c r="F185" s="100" t="s">
        <v>474</v>
      </c>
      <c r="G185" s="101">
        <v>4.0999999999999996</v>
      </c>
      <c r="H185" s="101">
        <v>10660</v>
      </c>
      <c r="I185" s="100" t="s">
        <v>1248</v>
      </c>
      <c r="J185" s="101">
        <v>0</v>
      </c>
      <c r="K185" s="101">
        <v>0</v>
      </c>
      <c r="L185" s="100" t="s">
        <v>465</v>
      </c>
      <c r="M185" s="100">
        <v>10642.58</v>
      </c>
      <c r="N185" s="121">
        <v>0.10009999999999999</v>
      </c>
    </row>
    <row r="186" spans="3:14" x14ac:dyDescent="0.25">
      <c r="C186" s="99">
        <v>69</v>
      </c>
      <c r="D186" s="100" t="s">
        <v>479</v>
      </c>
      <c r="E186" s="100">
        <v>29</v>
      </c>
      <c r="F186" s="100" t="s">
        <v>496</v>
      </c>
      <c r="G186" s="101">
        <v>3.55</v>
      </c>
      <c r="H186" s="101">
        <v>10295</v>
      </c>
      <c r="I186" s="100" t="s">
        <v>1248</v>
      </c>
      <c r="J186" s="101">
        <v>0</v>
      </c>
      <c r="K186" s="101">
        <v>0</v>
      </c>
      <c r="L186" s="100" t="s">
        <v>465</v>
      </c>
      <c r="M186" s="100">
        <v>10275.57</v>
      </c>
      <c r="N186" s="121">
        <v>9.0999999999999998E-2</v>
      </c>
    </row>
    <row r="187" spans="3:14" x14ac:dyDescent="0.25">
      <c r="C187" s="99">
        <v>70</v>
      </c>
      <c r="D187" s="100" t="s">
        <v>1334</v>
      </c>
      <c r="E187" s="100">
        <v>8</v>
      </c>
      <c r="F187" s="100" t="s">
        <v>1335</v>
      </c>
      <c r="G187" s="101">
        <v>12.9</v>
      </c>
      <c r="H187" s="101">
        <v>10320</v>
      </c>
      <c r="I187" s="100" t="s">
        <v>1248</v>
      </c>
      <c r="J187" s="101">
        <v>0</v>
      </c>
      <c r="K187" s="101">
        <v>0</v>
      </c>
      <c r="L187" s="100" t="s">
        <v>465</v>
      </c>
      <c r="M187" s="100">
        <v>10314.64</v>
      </c>
      <c r="N187" s="121">
        <v>9.7600000000000006E-2</v>
      </c>
    </row>
    <row r="188" spans="3:14" x14ac:dyDescent="0.25">
      <c r="C188" s="99">
        <v>71</v>
      </c>
      <c r="D188" s="100" t="s">
        <v>1329</v>
      </c>
      <c r="E188" s="100">
        <v>20</v>
      </c>
      <c r="F188" s="100" t="s">
        <v>463</v>
      </c>
      <c r="G188" s="101">
        <v>5.9</v>
      </c>
      <c r="H188" s="101">
        <v>11800</v>
      </c>
      <c r="I188" s="100" t="s">
        <v>1248</v>
      </c>
      <c r="J188" s="101">
        <v>0</v>
      </c>
      <c r="K188" s="101">
        <v>0</v>
      </c>
      <c r="L188" s="100" t="s">
        <v>465</v>
      </c>
      <c r="M188" s="100">
        <v>11786.6</v>
      </c>
      <c r="N188" s="121">
        <v>9.9699999999999997E-2</v>
      </c>
    </row>
    <row r="189" spans="3:14" x14ac:dyDescent="0.25">
      <c r="C189" s="99">
        <v>72</v>
      </c>
      <c r="D189" s="100" t="s">
        <v>1329</v>
      </c>
      <c r="E189" s="100">
        <v>20</v>
      </c>
      <c r="F189" s="100" t="s">
        <v>473</v>
      </c>
      <c r="G189" s="101">
        <v>5.9</v>
      </c>
      <c r="H189" s="101">
        <v>11800</v>
      </c>
      <c r="I189" s="100" t="s">
        <v>1248</v>
      </c>
      <c r="J189" s="101">
        <v>0</v>
      </c>
      <c r="K189" s="101">
        <v>0</v>
      </c>
      <c r="L189" s="100" t="s">
        <v>465</v>
      </c>
      <c r="M189" s="100">
        <v>11786.6</v>
      </c>
      <c r="N189" s="121">
        <v>9.5699999999999993E-2</v>
      </c>
    </row>
    <row r="190" spans="3:14" x14ac:dyDescent="0.25">
      <c r="C190" s="99">
        <v>73</v>
      </c>
      <c r="D190" s="100" t="s">
        <v>396</v>
      </c>
      <c r="E190" s="100">
        <v>23</v>
      </c>
      <c r="F190" s="100" t="s">
        <v>472</v>
      </c>
      <c r="G190" s="101">
        <v>4.5999999999999996</v>
      </c>
      <c r="H190" s="101">
        <v>10580</v>
      </c>
      <c r="I190" s="100" t="s">
        <v>605</v>
      </c>
      <c r="J190" s="101">
        <v>0</v>
      </c>
      <c r="K190" s="101">
        <v>0</v>
      </c>
      <c r="L190" s="100" t="s">
        <v>465</v>
      </c>
      <c r="M190" s="100">
        <v>10564.59</v>
      </c>
      <c r="N190" s="121">
        <v>0.1196</v>
      </c>
    </row>
    <row r="191" spans="3:14" x14ac:dyDescent="0.25">
      <c r="C191" s="99">
        <v>74</v>
      </c>
      <c r="D191" s="100" t="s">
        <v>1323</v>
      </c>
      <c r="E191" s="100">
        <v>7</v>
      </c>
      <c r="F191" s="100" t="s">
        <v>1230</v>
      </c>
      <c r="G191" s="101">
        <v>18.3</v>
      </c>
      <c r="H191" s="101">
        <v>12810</v>
      </c>
      <c r="I191" s="100" t="s">
        <v>605</v>
      </c>
      <c r="J191" s="101">
        <v>0</v>
      </c>
      <c r="K191" s="101">
        <v>0</v>
      </c>
      <c r="L191" s="100" t="s">
        <v>465</v>
      </c>
      <c r="M191" s="100">
        <v>12805.31</v>
      </c>
      <c r="N191" s="121">
        <v>0.10970000000000001</v>
      </c>
    </row>
    <row r="192" spans="3:14" x14ac:dyDescent="0.25">
      <c r="C192" s="99">
        <v>75</v>
      </c>
      <c r="D192" s="100" t="s">
        <v>1323</v>
      </c>
      <c r="E192" s="100">
        <v>8</v>
      </c>
      <c r="F192" s="100" t="s">
        <v>1336</v>
      </c>
      <c r="G192" s="101">
        <v>15.4</v>
      </c>
      <c r="H192" s="101">
        <v>12320</v>
      </c>
      <c r="I192" s="100" t="s">
        <v>605</v>
      </c>
      <c r="J192" s="101">
        <v>0</v>
      </c>
      <c r="K192" s="101">
        <v>0</v>
      </c>
      <c r="L192" s="100" t="s">
        <v>465</v>
      </c>
      <c r="M192" s="100">
        <v>12314.64</v>
      </c>
      <c r="N192" s="121">
        <v>9.35E-2</v>
      </c>
    </row>
    <row r="193" spans="3:14" x14ac:dyDescent="0.25">
      <c r="C193" s="99">
        <v>76</v>
      </c>
      <c r="D193" s="100" t="s">
        <v>1323</v>
      </c>
      <c r="E193" s="100">
        <v>8</v>
      </c>
      <c r="F193" s="100" t="s">
        <v>1337</v>
      </c>
      <c r="G193" s="101">
        <v>16.600000000000001</v>
      </c>
      <c r="H193" s="101">
        <v>13280</v>
      </c>
      <c r="I193" s="100" t="s">
        <v>605</v>
      </c>
      <c r="J193" s="101">
        <v>0</v>
      </c>
      <c r="K193" s="101">
        <v>0</v>
      </c>
      <c r="L193" s="100" t="s">
        <v>465</v>
      </c>
      <c r="M193" s="100">
        <v>13274.64</v>
      </c>
      <c r="N193" s="121">
        <v>9.2999999999999999E-2</v>
      </c>
    </row>
    <row r="194" spans="3:14" x14ac:dyDescent="0.25">
      <c r="C194" s="99">
        <v>77</v>
      </c>
      <c r="D194" s="100" t="s">
        <v>1323</v>
      </c>
      <c r="E194" s="100">
        <v>8</v>
      </c>
      <c r="F194" s="100" t="s">
        <v>1338</v>
      </c>
      <c r="G194" s="101">
        <v>16.100000000000001</v>
      </c>
      <c r="H194" s="101">
        <v>12880</v>
      </c>
      <c r="I194" s="100" t="s">
        <v>605</v>
      </c>
      <c r="J194" s="101">
        <v>0</v>
      </c>
      <c r="K194" s="101">
        <v>0</v>
      </c>
      <c r="L194" s="100" t="s">
        <v>465</v>
      </c>
      <c r="M194" s="100">
        <v>12874.64</v>
      </c>
      <c r="N194" s="121">
        <v>9.2499999999999999E-2</v>
      </c>
    </row>
    <row r="195" spans="3:14" x14ac:dyDescent="0.25">
      <c r="C195" s="99">
        <v>78</v>
      </c>
      <c r="D195" s="100" t="s">
        <v>508</v>
      </c>
      <c r="E195" s="100">
        <v>32</v>
      </c>
      <c r="F195" s="100" t="s">
        <v>1239</v>
      </c>
      <c r="G195" s="101">
        <v>4.5999999999999996</v>
      </c>
      <c r="H195" s="101">
        <v>14720</v>
      </c>
      <c r="I195" s="100" t="s">
        <v>605</v>
      </c>
      <c r="J195" s="101">
        <v>0</v>
      </c>
      <c r="K195" s="101">
        <v>0</v>
      </c>
      <c r="L195" s="100" t="s">
        <v>465</v>
      </c>
      <c r="M195" s="100">
        <v>14698.56</v>
      </c>
      <c r="N195" s="121">
        <v>0.1137</v>
      </c>
    </row>
    <row r="196" spans="3:14" x14ac:dyDescent="0.25">
      <c r="C196" s="99">
        <v>79</v>
      </c>
      <c r="D196" s="100" t="s">
        <v>548</v>
      </c>
      <c r="E196" s="100">
        <v>24</v>
      </c>
      <c r="F196" s="100" t="s">
        <v>565</v>
      </c>
      <c r="G196" s="101">
        <v>6</v>
      </c>
      <c r="H196" s="101">
        <v>14400</v>
      </c>
      <c r="I196" s="100" t="s">
        <v>605</v>
      </c>
      <c r="J196" s="101">
        <v>0</v>
      </c>
      <c r="K196" s="101">
        <v>0</v>
      </c>
      <c r="L196" s="100" t="s">
        <v>465</v>
      </c>
      <c r="M196" s="100">
        <v>14383.92</v>
      </c>
      <c r="N196" s="121">
        <v>0.35249999999999998</v>
      </c>
    </row>
    <row r="197" spans="3:14" x14ac:dyDescent="0.25">
      <c r="C197" s="99">
        <v>80</v>
      </c>
      <c r="D197" s="100" t="s">
        <v>548</v>
      </c>
      <c r="E197" s="100">
        <v>28</v>
      </c>
      <c r="F197" s="100" t="s">
        <v>563</v>
      </c>
      <c r="G197" s="101">
        <v>5.8</v>
      </c>
      <c r="H197" s="101">
        <v>16240</v>
      </c>
      <c r="I197" s="100" t="s">
        <v>605</v>
      </c>
      <c r="J197" s="101">
        <v>0</v>
      </c>
      <c r="K197" s="101">
        <v>0</v>
      </c>
      <c r="L197" s="100" t="s">
        <v>465</v>
      </c>
      <c r="M197" s="100">
        <v>16221.24</v>
      </c>
      <c r="N197" s="121">
        <v>0.35759999999999997</v>
      </c>
    </row>
    <row r="198" spans="3:14" x14ac:dyDescent="0.25">
      <c r="C198" s="99">
        <v>81</v>
      </c>
      <c r="D198" s="100" t="s">
        <v>736</v>
      </c>
      <c r="E198" s="100">
        <v>20</v>
      </c>
      <c r="F198" s="100" t="s">
        <v>1339</v>
      </c>
      <c r="G198" s="101">
        <v>6.45</v>
      </c>
      <c r="H198" s="101">
        <v>12900</v>
      </c>
      <c r="I198" s="100" t="s">
        <v>1340</v>
      </c>
      <c r="J198" s="101">
        <v>0</v>
      </c>
      <c r="K198" s="101">
        <v>0</v>
      </c>
      <c r="L198" s="100" t="s">
        <v>465</v>
      </c>
      <c r="M198" s="100">
        <v>12886.6</v>
      </c>
      <c r="N198" s="121">
        <v>0.1014</v>
      </c>
    </row>
    <row r="199" spans="3:14" x14ac:dyDescent="0.25">
      <c r="C199" s="99">
        <v>82</v>
      </c>
      <c r="D199" s="100" t="s">
        <v>736</v>
      </c>
      <c r="E199" s="100">
        <v>20</v>
      </c>
      <c r="F199" s="100" t="s">
        <v>1341</v>
      </c>
      <c r="G199" s="101">
        <v>6.45</v>
      </c>
      <c r="H199" s="101">
        <v>12900</v>
      </c>
      <c r="I199" s="100" t="s">
        <v>1340</v>
      </c>
      <c r="J199" s="101">
        <v>0</v>
      </c>
      <c r="K199" s="101">
        <v>0</v>
      </c>
      <c r="L199" s="100" t="s">
        <v>465</v>
      </c>
      <c r="M199" s="100">
        <v>12886.6</v>
      </c>
      <c r="N199" s="121">
        <v>9.4E-2</v>
      </c>
    </row>
    <row r="200" spans="3:14" x14ac:dyDescent="0.25">
      <c r="C200" s="99">
        <v>83</v>
      </c>
      <c r="D200" s="100" t="s">
        <v>524</v>
      </c>
      <c r="E200" s="100">
        <v>25</v>
      </c>
      <c r="F200" s="100" t="s">
        <v>1342</v>
      </c>
      <c r="G200" s="101">
        <v>5.4</v>
      </c>
      <c r="H200" s="101">
        <v>13500</v>
      </c>
      <c r="I200" s="100" t="s">
        <v>1340</v>
      </c>
      <c r="J200" s="101">
        <v>0</v>
      </c>
      <c r="K200" s="101">
        <v>0</v>
      </c>
      <c r="L200" s="100" t="s">
        <v>465</v>
      </c>
      <c r="M200" s="100">
        <v>13483.25</v>
      </c>
      <c r="N200" s="121">
        <v>0.15590000000000001</v>
      </c>
    </row>
    <row r="201" spans="3:14" x14ac:dyDescent="0.25">
      <c r="C201" s="99">
        <v>84</v>
      </c>
      <c r="D201" s="100" t="s">
        <v>524</v>
      </c>
      <c r="E201" s="100">
        <v>32</v>
      </c>
      <c r="F201" s="100" t="s">
        <v>1343</v>
      </c>
      <c r="G201" s="101">
        <v>4.2</v>
      </c>
      <c r="H201" s="101">
        <v>13440</v>
      </c>
      <c r="I201" s="100" t="s">
        <v>1340</v>
      </c>
      <c r="J201" s="101">
        <v>0</v>
      </c>
      <c r="K201" s="101">
        <v>0</v>
      </c>
      <c r="L201" s="100" t="s">
        <v>465</v>
      </c>
      <c r="M201" s="100">
        <v>13418.56</v>
      </c>
      <c r="N201" s="121">
        <v>0.1361</v>
      </c>
    </row>
    <row r="202" spans="3:14" x14ac:dyDescent="0.25">
      <c r="C202" s="99">
        <v>85</v>
      </c>
      <c r="D202" s="100" t="s">
        <v>524</v>
      </c>
      <c r="E202" s="100">
        <v>33</v>
      </c>
      <c r="F202" s="100" t="s">
        <v>503</v>
      </c>
      <c r="G202" s="101">
        <v>3.85</v>
      </c>
      <c r="H202" s="101">
        <v>12705</v>
      </c>
      <c r="I202" s="100" t="s">
        <v>1340</v>
      </c>
      <c r="J202" s="101">
        <v>0</v>
      </c>
      <c r="K202" s="101">
        <v>0</v>
      </c>
      <c r="L202" s="100" t="s">
        <v>465</v>
      </c>
      <c r="M202" s="100">
        <v>12682.89</v>
      </c>
      <c r="N202" s="121">
        <v>0.14699999999999999</v>
      </c>
    </row>
    <row r="203" spans="3:14" x14ac:dyDescent="0.25">
      <c r="C203" s="99">
        <v>86</v>
      </c>
      <c r="D203" s="100" t="s">
        <v>721</v>
      </c>
      <c r="E203" s="100">
        <v>28</v>
      </c>
      <c r="F203" s="100" t="s">
        <v>1344</v>
      </c>
      <c r="G203" s="101">
        <v>4.4000000000000004</v>
      </c>
      <c r="H203" s="101">
        <v>12320</v>
      </c>
      <c r="I203" s="100" t="s">
        <v>1340</v>
      </c>
      <c r="J203" s="101">
        <v>0</v>
      </c>
      <c r="K203" s="101">
        <v>0</v>
      </c>
      <c r="L203" s="100" t="s">
        <v>465</v>
      </c>
      <c r="M203" s="100">
        <v>12301.24</v>
      </c>
      <c r="N203" s="121">
        <v>0.1082</v>
      </c>
    </row>
    <row r="204" spans="3:14" x14ac:dyDescent="0.25">
      <c r="C204" s="99">
        <v>87</v>
      </c>
      <c r="D204" s="100" t="s">
        <v>721</v>
      </c>
      <c r="E204" s="100">
        <v>36</v>
      </c>
      <c r="F204" s="100" t="s">
        <v>1345</v>
      </c>
      <c r="G204" s="101">
        <v>3.65</v>
      </c>
      <c r="H204" s="101">
        <v>13140</v>
      </c>
      <c r="I204" s="100" t="s">
        <v>1340</v>
      </c>
      <c r="J204" s="101">
        <v>0</v>
      </c>
      <c r="K204" s="101">
        <v>0</v>
      </c>
      <c r="L204" s="100" t="s">
        <v>465</v>
      </c>
      <c r="M204" s="100">
        <v>13115.88</v>
      </c>
      <c r="N204" s="121">
        <v>9.3799999999999994E-2</v>
      </c>
    </row>
    <row r="205" spans="3:14" x14ac:dyDescent="0.25">
      <c r="C205" s="99">
        <v>88</v>
      </c>
      <c r="D205" s="100" t="s">
        <v>1346</v>
      </c>
      <c r="E205" s="100">
        <v>22</v>
      </c>
      <c r="F205" s="100" t="s">
        <v>501</v>
      </c>
      <c r="G205" s="101">
        <v>6.7</v>
      </c>
      <c r="H205" s="101">
        <v>14740</v>
      </c>
      <c r="I205" s="100" t="s">
        <v>619</v>
      </c>
      <c r="J205" s="101">
        <v>0</v>
      </c>
      <c r="K205" s="101">
        <v>0</v>
      </c>
      <c r="L205" s="100" t="s">
        <v>465</v>
      </c>
      <c r="M205" s="100">
        <v>14725.26</v>
      </c>
      <c r="N205" s="121">
        <v>9.1300000000000006E-2</v>
      </c>
    </row>
    <row r="206" spans="3:14" x14ac:dyDescent="0.25">
      <c r="C206" s="99">
        <v>89</v>
      </c>
      <c r="D206" s="100" t="s">
        <v>499</v>
      </c>
      <c r="E206" s="100">
        <v>38</v>
      </c>
      <c r="F206" s="100" t="s">
        <v>532</v>
      </c>
      <c r="G206" s="101">
        <v>3.6</v>
      </c>
      <c r="H206" s="101">
        <v>13680</v>
      </c>
      <c r="I206" s="100" t="s">
        <v>645</v>
      </c>
      <c r="J206" s="101">
        <v>0</v>
      </c>
      <c r="K206" s="101">
        <v>0</v>
      </c>
      <c r="L206" s="100" t="s">
        <v>465</v>
      </c>
      <c r="M206" s="100">
        <v>13654.54</v>
      </c>
      <c r="N206" s="121">
        <v>9.8699999999999996E-2</v>
      </c>
    </row>
    <row r="207" spans="3:14" x14ac:dyDescent="0.25">
      <c r="C207" s="99">
        <v>90</v>
      </c>
      <c r="D207" s="100" t="s">
        <v>407</v>
      </c>
      <c r="E207" s="100">
        <v>3</v>
      </c>
      <c r="F207" s="100" t="s">
        <v>1233</v>
      </c>
      <c r="G207" s="101">
        <v>33.75</v>
      </c>
      <c r="H207" s="101">
        <v>10125</v>
      </c>
      <c r="I207" s="100" t="s">
        <v>645</v>
      </c>
      <c r="J207" s="101">
        <v>0</v>
      </c>
      <c r="K207" s="101">
        <v>0</v>
      </c>
      <c r="L207" s="100" t="s">
        <v>465</v>
      </c>
      <c r="M207" s="100">
        <v>10122.99</v>
      </c>
      <c r="N207" s="121">
        <v>9.2100000000000001E-2</v>
      </c>
    </row>
    <row r="208" spans="3:14" x14ac:dyDescent="0.25">
      <c r="C208" s="99">
        <v>91</v>
      </c>
      <c r="D208" s="100" t="s">
        <v>407</v>
      </c>
      <c r="E208" s="100">
        <v>3</v>
      </c>
      <c r="F208" s="100" t="s">
        <v>527</v>
      </c>
      <c r="G208" s="101">
        <v>33.85</v>
      </c>
      <c r="H208" s="101">
        <v>10155</v>
      </c>
      <c r="I208" s="100" t="s">
        <v>645</v>
      </c>
      <c r="J208" s="101">
        <v>0</v>
      </c>
      <c r="K208" s="101">
        <v>0</v>
      </c>
      <c r="L208" s="100" t="s">
        <v>465</v>
      </c>
      <c r="M208" s="100">
        <v>10152.99</v>
      </c>
      <c r="N208" s="121">
        <v>9.5000000000000001E-2</v>
      </c>
    </row>
    <row r="209" spans="3:14" x14ac:dyDescent="0.25">
      <c r="C209" s="99">
        <v>92</v>
      </c>
      <c r="D209" s="100" t="s">
        <v>407</v>
      </c>
      <c r="E209" s="100">
        <v>3</v>
      </c>
      <c r="F209" s="100" t="s">
        <v>539</v>
      </c>
      <c r="G209" s="101">
        <v>35.1</v>
      </c>
      <c r="H209" s="101">
        <v>10530</v>
      </c>
      <c r="I209" s="100" t="s">
        <v>645</v>
      </c>
      <c r="J209" s="101">
        <v>0</v>
      </c>
      <c r="K209" s="101">
        <v>0</v>
      </c>
      <c r="L209" s="100" t="s">
        <v>465</v>
      </c>
      <c r="M209" s="100">
        <v>10527.99</v>
      </c>
      <c r="N209" s="121">
        <v>9.3600000000000003E-2</v>
      </c>
    </row>
    <row r="210" spans="3:14" x14ac:dyDescent="0.25">
      <c r="C210" s="99">
        <v>93</v>
      </c>
      <c r="D210" s="100" t="s">
        <v>1323</v>
      </c>
      <c r="E210" s="100">
        <v>9</v>
      </c>
      <c r="F210" s="100" t="s">
        <v>535</v>
      </c>
      <c r="G210" s="101">
        <v>16.7</v>
      </c>
      <c r="H210" s="101">
        <v>15030</v>
      </c>
      <c r="I210" s="100" t="s">
        <v>645</v>
      </c>
      <c r="J210" s="101">
        <v>0</v>
      </c>
      <c r="K210" s="101">
        <v>0</v>
      </c>
      <c r="L210" s="100" t="s">
        <v>465</v>
      </c>
      <c r="M210" s="100">
        <v>15023.97</v>
      </c>
      <c r="N210" s="121">
        <v>9.3600000000000003E-2</v>
      </c>
    </row>
    <row r="211" spans="3:14" x14ac:dyDescent="0.25">
      <c r="C211" s="99">
        <v>94</v>
      </c>
      <c r="D211" s="100" t="s">
        <v>508</v>
      </c>
      <c r="E211" s="100">
        <v>21</v>
      </c>
      <c r="F211" s="100" t="s">
        <v>515</v>
      </c>
      <c r="G211" s="101">
        <v>7.05</v>
      </c>
      <c r="H211" s="101">
        <v>14805</v>
      </c>
      <c r="I211" s="100" t="s">
        <v>645</v>
      </c>
      <c r="J211" s="101">
        <v>0</v>
      </c>
      <c r="K211" s="101">
        <v>0</v>
      </c>
      <c r="L211" s="100" t="s">
        <v>465</v>
      </c>
      <c r="M211" s="100">
        <v>14790.93</v>
      </c>
      <c r="N211" s="121">
        <v>0.18559999999999999</v>
      </c>
    </row>
    <row r="212" spans="3:14" x14ac:dyDescent="0.25">
      <c r="C212" s="99">
        <v>95</v>
      </c>
      <c r="D212" s="100" t="s">
        <v>519</v>
      </c>
      <c r="E212" s="100">
        <v>38</v>
      </c>
      <c r="F212" s="100" t="s">
        <v>517</v>
      </c>
      <c r="G212" s="101">
        <v>3.9</v>
      </c>
      <c r="H212" s="101">
        <v>14820</v>
      </c>
      <c r="I212" s="100" t="s">
        <v>645</v>
      </c>
      <c r="J212" s="101">
        <v>0</v>
      </c>
      <c r="K212" s="101">
        <v>0</v>
      </c>
      <c r="L212" s="100" t="s">
        <v>465</v>
      </c>
      <c r="M212" s="100">
        <v>14794.54</v>
      </c>
      <c r="N212" s="121">
        <v>0.1615</v>
      </c>
    </row>
    <row r="213" spans="3:14" x14ac:dyDescent="0.25">
      <c r="C213" s="99">
        <v>96</v>
      </c>
      <c r="D213" s="100" t="s">
        <v>519</v>
      </c>
      <c r="E213" s="100">
        <v>35</v>
      </c>
      <c r="F213" s="100" t="s">
        <v>518</v>
      </c>
      <c r="G213" s="101">
        <v>4.3</v>
      </c>
      <c r="H213" s="101">
        <v>15050</v>
      </c>
      <c r="I213" s="100" t="s">
        <v>645</v>
      </c>
      <c r="J213" s="101">
        <v>0</v>
      </c>
      <c r="K213" s="101">
        <v>0</v>
      </c>
      <c r="L213" s="100" t="s">
        <v>465</v>
      </c>
      <c r="M213" s="100">
        <v>15026.55</v>
      </c>
      <c r="N213" s="121">
        <v>0.1671</v>
      </c>
    </row>
    <row r="214" spans="3:14" x14ac:dyDescent="0.25">
      <c r="C214" s="99">
        <v>97</v>
      </c>
      <c r="D214" s="100" t="s">
        <v>519</v>
      </c>
      <c r="E214" s="100">
        <v>40</v>
      </c>
      <c r="F214" s="100" t="s">
        <v>551</v>
      </c>
      <c r="G214" s="101">
        <v>3.8</v>
      </c>
      <c r="H214" s="101">
        <v>15200</v>
      </c>
      <c r="I214" s="100" t="s">
        <v>645</v>
      </c>
      <c r="J214" s="101">
        <v>0</v>
      </c>
      <c r="K214" s="101">
        <v>0</v>
      </c>
      <c r="L214" s="100" t="s">
        <v>465</v>
      </c>
      <c r="M214" s="100">
        <v>15173.2</v>
      </c>
      <c r="N214" s="121">
        <v>0.15049999999999999</v>
      </c>
    </row>
    <row r="215" spans="3:14" x14ac:dyDescent="0.25">
      <c r="C215" s="99">
        <v>98</v>
      </c>
      <c r="D215" s="100" t="s">
        <v>508</v>
      </c>
      <c r="E215" s="100">
        <v>25</v>
      </c>
      <c r="F215" s="100" t="s">
        <v>552</v>
      </c>
      <c r="G215" s="101">
        <v>5.85</v>
      </c>
      <c r="H215" s="101">
        <v>14625</v>
      </c>
      <c r="I215" s="100" t="s">
        <v>645</v>
      </c>
      <c r="J215" s="101">
        <v>0</v>
      </c>
      <c r="K215" s="101">
        <v>0</v>
      </c>
      <c r="L215" s="100" t="s">
        <v>465</v>
      </c>
      <c r="M215" s="100">
        <v>14608.25</v>
      </c>
      <c r="N215" s="121">
        <v>0.1711</v>
      </c>
    </row>
    <row r="216" spans="3:14" x14ac:dyDescent="0.25">
      <c r="C216" s="99">
        <v>99</v>
      </c>
      <c r="D216" s="100" t="s">
        <v>505</v>
      </c>
      <c r="E216" s="100">
        <v>37</v>
      </c>
      <c r="F216" s="100" t="s">
        <v>506</v>
      </c>
      <c r="G216" s="101">
        <v>3.65</v>
      </c>
      <c r="H216" s="101">
        <v>13505</v>
      </c>
      <c r="I216" s="100" t="s">
        <v>645</v>
      </c>
      <c r="J216" s="101">
        <v>0</v>
      </c>
      <c r="K216" s="101">
        <v>0</v>
      </c>
      <c r="L216" s="100" t="s">
        <v>465</v>
      </c>
      <c r="M216" s="100">
        <v>13480.21</v>
      </c>
      <c r="N216" s="121">
        <v>0.1031</v>
      </c>
    </row>
    <row r="217" spans="3:14" x14ac:dyDescent="0.25">
      <c r="C217" s="99">
        <v>100</v>
      </c>
      <c r="D217" s="100" t="s">
        <v>508</v>
      </c>
      <c r="E217" s="100">
        <v>33</v>
      </c>
      <c r="F217" s="100" t="s">
        <v>509</v>
      </c>
      <c r="G217" s="101">
        <v>4.2</v>
      </c>
      <c r="H217" s="101">
        <v>13860</v>
      </c>
      <c r="I217" s="100" t="s">
        <v>645</v>
      </c>
      <c r="J217" s="101">
        <v>0</v>
      </c>
      <c r="K217" s="101">
        <v>0</v>
      </c>
      <c r="L217" s="100" t="s">
        <v>465</v>
      </c>
      <c r="M217" s="100">
        <v>13837.89</v>
      </c>
      <c r="N217" s="121">
        <v>0.1361</v>
      </c>
    </row>
    <row r="218" spans="3:14" x14ac:dyDescent="0.25">
      <c r="C218" s="99">
        <v>101</v>
      </c>
      <c r="D218" s="100" t="s">
        <v>505</v>
      </c>
      <c r="E218" s="100">
        <v>42</v>
      </c>
      <c r="F218" s="100" t="s">
        <v>504</v>
      </c>
      <c r="G218" s="101">
        <v>3.6</v>
      </c>
      <c r="H218" s="101">
        <v>15120</v>
      </c>
      <c r="I218" s="100" t="s">
        <v>645</v>
      </c>
      <c r="J218" s="101">
        <v>0</v>
      </c>
      <c r="K218" s="101">
        <v>0</v>
      </c>
      <c r="L218" s="100" t="s">
        <v>465</v>
      </c>
      <c r="M218" s="100">
        <v>15091.86</v>
      </c>
      <c r="N218" s="121">
        <v>9.6100000000000005E-2</v>
      </c>
    </row>
    <row r="219" spans="3:14" x14ac:dyDescent="0.25">
      <c r="C219" s="99">
        <v>102</v>
      </c>
      <c r="D219" s="100" t="s">
        <v>522</v>
      </c>
      <c r="E219" s="100">
        <v>19</v>
      </c>
      <c r="F219" s="100" t="s">
        <v>520</v>
      </c>
      <c r="G219" s="101">
        <v>7.95</v>
      </c>
      <c r="H219" s="101">
        <v>15105</v>
      </c>
      <c r="I219" s="100" t="s">
        <v>645</v>
      </c>
      <c r="J219" s="101">
        <v>0</v>
      </c>
      <c r="K219" s="101">
        <v>0</v>
      </c>
      <c r="L219" s="100" t="s">
        <v>465</v>
      </c>
      <c r="M219" s="100">
        <v>15092.27</v>
      </c>
      <c r="N219" s="121">
        <v>0.13919999999999999</v>
      </c>
    </row>
    <row r="220" spans="3:14" x14ac:dyDescent="0.25">
      <c r="C220" s="99">
        <v>103</v>
      </c>
      <c r="D220" s="100" t="s">
        <v>522</v>
      </c>
      <c r="E220" s="100">
        <v>23</v>
      </c>
      <c r="F220" s="100" t="s">
        <v>523</v>
      </c>
      <c r="G220" s="101">
        <v>6.65</v>
      </c>
      <c r="H220" s="101">
        <v>15295</v>
      </c>
      <c r="I220" s="100" t="s">
        <v>645</v>
      </c>
      <c r="J220" s="101">
        <v>0</v>
      </c>
      <c r="K220" s="101">
        <v>0</v>
      </c>
      <c r="L220" s="100" t="s">
        <v>465</v>
      </c>
      <c r="M220" s="100">
        <v>15279.59</v>
      </c>
      <c r="N220" s="121">
        <v>0.11890000000000001</v>
      </c>
    </row>
    <row r="221" spans="3:14" x14ac:dyDescent="0.25">
      <c r="C221" s="99">
        <v>104</v>
      </c>
      <c r="D221" s="100" t="s">
        <v>508</v>
      </c>
      <c r="E221" s="100">
        <v>32</v>
      </c>
      <c r="F221" s="100" t="s">
        <v>507</v>
      </c>
      <c r="G221" s="101">
        <v>5.25</v>
      </c>
      <c r="H221" s="101">
        <v>16800</v>
      </c>
      <c r="I221" s="100" t="s">
        <v>645</v>
      </c>
      <c r="J221" s="101">
        <v>0</v>
      </c>
      <c r="K221" s="101">
        <v>0</v>
      </c>
      <c r="L221" s="100" t="s">
        <v>465</v>
      </c>
      <c r="M221" s="100">
        <v>16778.560000000001</v>
      </c>
      <c r="N221" s="121">
        <v>0.1172</v>
      </c>
    </row>
    <row r="222" spans="3:14" x14ac:dyDescent="0.25">
      <c r="C222" s="99">
        <v>105</v>
      </c>
      <c r="D222" s="100" t="s">
        <v>522</v>
      </c>
      <c r="E222" s="100">
        <v>29</v>
      </c>
      <c r="F222" s="100" t="s">
        <v>546</v>
      </c>
      <c r="G222" s="101">
        <v>5.9</v>
      </c>
      <c r="H222" s="101">
        <v>17110</v>
      </c>
      <c r="I222" s="100" t="s">
        <v>645</v>
      </c>
      <c r="J222" s="101">
        <v>0</v>
      </c>
      <c r="K222" s="101">
        <v>0</v>
      </c>
      <c r="L222" s="100" t="s">
        <v>465</v>
      </c>
      <c r="M222" s="100">
        <v>17090.57</v>
      </c>
      <c r="N222" s="121">
        <v>9.1899999999999996E-2</v>
      </c>
    </row>
    <row r="223" spans="3:14" x14ac:dyDescent="0.25">
      <c r="C223" s="99">
        <v>106</v>
      </c>
      <c r="D223" s="100" t="s">
        <v>1347</v>
      </c>
      <c r="E223" s="100">
        <v>12</v>
      </c>
      <c r="F223" s="100" t="s">
        <v>537</v>
      </c>
      <c r="G223" s="101">
        <v>13.55</v>
      </c>
      <c r="H223" s="101">
        <v>16260</v>
      </c>
      <c r="I223" s="100" t="s">
        <v>645</v>
      </c>
      <c r="J223" s="101">
        <v>0</v>
      </c>
      <c r="K223" s="101">
        <v>0</v>
      </c>
      <c r="L223" s="100" t="s">
        <v>465</v>
      </c>
      <c r="M223" s="100">
        <v>16251.96</v>
      </c>
      <c r="N223" s="121">
        <v>9.9299999999999999E-2</v>
      </c>
    </row>
    <row r="224" spans="3:14" x14ac:dyDescent="0.25">
      <c r="C224" s="99">
        <v>107</v>
      </c>
      <c r="D224" s="100" t="s">
        <v>522</v>
      </c>
      <c r="E224" s="100">
        <v>30</v>
      </c>
      <c r="F224" s="100" t="s">
        <v>512</v>
      </c>
      <c r="G224" s="101">
        <v>5.65</v>
      </c>
      <c r="H224" s="101">
        <v>16950</v>
      </c>
      <c r="I224" s="100" t="s">
        <v>645</v>
      </c>
      <c r="J224" s="101">
        <v>0</v>
      </c>
      <c r="K224" s="101">
        <v>0</v>
      </c>
      <c r="L224" s="100" t="s">
        <v>465</v>
      </c>
      <c r="M224" s="100">
        <v>16929.900000000001</v>
      </c>
      <c r="N224" s="121">
        <v>9.1200000000000003E-2</v>
      </c>
    </row>
    <row r="225" spans="3:14" x14ac:dyDescent="0.25">
      <c r="C225" s="99">
        <v>108</v>
      </c>
      <c r="D225" s="100" t="s">
        <v>522</v>
      </c>
      <c r="E225" s="100">
        <v>26</v>
      </c>
      <c r="F225" s="100" t="s">
        <v>542</v>
      </c>
      <c r="G225" s="101">
        <v>6.75</v>
      </c>
      <c r="H225" s="101">
        <v>17550</v>
      </c>
      <c r="I225" s="100" t="s">
        <v>645</v>
      </c>
      <c r="J225" s="101">
        <v>0</v>
      </c>
      <c r="K225" s="101">
        <v>0</v>
      </c>
      <c r="L225" s="100" t="s">
        <v>465</v>
      </c>
      <c r="M225" s="100">
        <v>17532.580000000002</v>
      </c>
      <c r="N225" s="121">
        <v>0.1026</v>
      </c>
    </row>
    <row r="226" spans="3:14" x14ac:dyDescent="0.25">
      <c r="C226" s="99">
        <v>109</v>
      </c>
      <c r="D226" s="100" t="s">
        <v>508</v>
      </c>
      <c r="E226" s="100">
        <v>40</v>
      </c>
      <c r="F226" s="100" t="s">
        <v>557</v>
      </c>
      <c r="G226" s="101">
        <v>4.6500000000000004</v>
      </c>
      <c r="H226" s="101">
        <v>18600</v>
      </c>
      <c r="I226" s="100" t="s">
        <v>645</v>
      </c>
      <c r="J226" s="101">
        <v>0</v>
      </c>
      <c r="K226" s="101">
        <v>0</v>
      </c>
      <c r="L226" s="100" t="s">
        <v>465</v>
      </c>
      <c r="M226" s="100">
        <v>18573.2</v>
      </c>
      <c r="N226" s="121">
        <v>9.2200000000000004E-2</v>
      </c>
    </row>
    <row r="227" spans="3:14" x14ac:dyDescent="0.25">
      <c r="C227" s="99">
        <v>110</v>
      </c>
      <c r="D227" s="100" t="s">
        <v>703</v>
      </c>
      <c r="E227" s="100">
        <v>20</v>
      </c>
      <c r="F227" s="100" t="s">
        <v>624</v>
      </c>
      <c r="G227" s="101">
        <v>10.6</v>
      </c>
      <c r="H227" s="101">
        <v>21200</v>
      </c>
      <c r="I227" s="100" t="s">
        <v>645</v>
      </c>
      <c r="J227" s="101">
        <v>0</v>
      </c>
      <c r="K227" s="101">
        <v>0</v>
      </c>
      <c r="L227" s="100" t="s">
        <v>465</v>
      </c>
      <c r="M227" s="100">
        <v>21186.6</v>
      </c>
      <c r="N227" s="121">
        <v>0.57569999999999999</v>
      </c>
    </row>
    <row r="228" spans="3:14" x14ac:dyDescent="0.25">
      <c r="C228" s="99">
        <v>111</v>
      </c>
      <c r="D228" s="100" t="s">
        <v>407</v>
      </c>
      <c r="E228" s="100">
        <v>4</v>
      </c>
      <c r="F228" s="100" t="s">
        <v>554</v>
      </c>
      <c r="G228" s="101">
        <v>35.35</v>
      </c>
      <c r="H228" s="101">
        <v>14140</v>
      </c>
      <c r="I228" s="100" t="s">
        <v>1348</v>
      </c>
      <c r="J228" s="101">
        <v>0</v>
      </c>
      <c r="K228" s="101">
        <v>0</v>
      </c>
      <c r="L228" s="100" t="s">
        <v>465</v>
      </c>
      <c r="M228" s="100">
        <v>14137.32</v>
      </c>
      <c r="N228" s="121">
        <v>9.1899999999999996E-2</v>
      </c>
    </row>
    <row r="229" spans="3:14" x14ac:dyDescent="0.25">
      <c r="C229" s="99">
        <v>112</v>
      </c>
      <c r="D229" s="100" t="s">
        <v>524</v>
      </c>
      <c r="E229" s="100">
        <v>47</v>
      </c>
      <c r="F229" s="100" t="s">
        <v>555</v>
      </c>
      <c r="G229" s="101">
        <v>4.3499999999999996</v>
      </c>
      <c r="H229" s="101">
        <v>20445</v>
      </c>
      <c r="I229" s="100" t="s">
        <v>1348</v>
      </c>
      <c r="J229" s="101">
        <v>0</v>
      </c>
      <c r="K229" s="101">
        <v>0</v>
      </c>
      <c r="L229" s="100" t="s">
        <v>465</v>
      </c>
      <c r="M229" s="100">
        <v>20413.509999999998</v>
      </c>
      <c r="N229" s="121">
        <v>9.3100000000000002E-2</v>
      </c>
    </row>
    <row r="230" spans="3:14" x14ac:dyDescent="0.25">
      <c r="C230" s="99">
        <v>113</v>
      </c>
      <c r="D230" s="100" t="s">
        <v>524</v>
      </c>
      <c r="E230" s="100">
        <v>49</v>
      </c>
      <c r="F230" s="100" t="s">
        <v>1349</v>
      </c>
      <c r="G230" s="101">
        <v>4.2</v>
      </c>
      <c r="H230" s="101">
        <v>20580</v>
      </c>
      <c r="I230" s="100" t="s">
        <v>1348</v>
      </c>
      <c r="J230" s="101">
        <v>0</v>
      </c>
      <c r="K230" s="101">
        <v>0</v>
      </c>
      <c r="L230" s="100" t="s">
        <v>465</v>
      </c>
      <c r="M230" s="100">
        <v>20547.169999999998</v>
      </c>
      <c r="N230" s="121">
        <v>9.1600000000000001E-2</v>
      </c>
    </row>
    <row r="231" spans="3:14" x14ac:dyDescent="0.25">
      <c r="C231" s="99">
        <v>114</v>
      </c>
      <c r="D231" s="100" t="s">
        <v>524</v>
      </c>
      <c r="E231" s="100">
        <v>39</v>
      </c>
      <c r="F231" s="100" t="s">
        <v>576</v>
      </c>
      <c r="G231" s="101">
        <v>5.15</v>
      </c>
      <c r="H231" s="101">
        <v>20085</v>
      </c>
      <c r="I231" s="100" t="s">
        <v>1348</v>
      </c>
      <c r="J231" s="101">
        <v>0</v>
      </c>
      <c r="K231" s="101">
        <v>0</v>
      </c>
      <c r="L231" s="100" t="s">
        <v>465</v>
      </c>
      <c r="M231" s="100">
        <v>20058.87</v>
      </c>
      <c r="N231" s="121">
        <v>0.10979999999999999</v>
      </c>
    </row>
    <row r="232" spans="3:14" x14ac:dyDescent="0.25">
      <c r="C232" s="99">
        <v>115</v>
      </c>
      <c r="D232" s="100" t="s">
        <v>524</v>
      </c>
      <c r="E232" s="100">
        <v>39</v>
      </c>
      <c r="F232" s="100" t="s">
        <v>577</v>
      </c>
      <c r="G232" s="101">
        <v>5.15</v>
      </c>
      <c r="H232" s="101">
        <v>20085</v>
      </c>
      <c r="I232" s="100" t="s">
        <v>1348</v>
      </c>
      <c r="J232" s="101">
        <v>0</v>
      </c>
      <c r="K232" s="101">
        <v>0</v>
      </c>
      <c r="L232" s="100" t="s">
        <v>465</v>
      </c>
      <c r="M232" s="100">
        <v>20058.87</v>
      </c>
      <c r="N232" s="121">
        <v>0.1075</v>
      </c>
    </row>
    <row r="233" spans="3:14" x14ac:dyDescent="0.25">
      <c r="C233" s="99">
        <v>116</v>
      </c>
      <c r="D233" s="100" t="s">
        <v>524</v>
      </c>
      <c r="E233" s="100">
        <v>46</v>
      </c>
      <c r="F233" s="100" t="s">
        <v>579</v>
      </c>
      <c r="G233" s="101">
        <v>4.55</v>
      </c>
      <c r="H233" s="101">
        <v>20930</v>
      </c>
      <c r="I233" s="100" t="s">
        <v>1348</v>
      </c>
      <c r="J233" s="101">
        <v>0</v>
      </c>
      <c r="K233" s="101">
        <v>0</v>
      </c>
      <c r="L233" s="100" t="s">
        <v>465</v>
      </c>
      <c r="M233" s="100">
        <v>20899.18</v>
      </c>
      <c r="N233" s="121">
        <v>9.1899999999999996E-2</v>
      </c>
    </row>
    <row r="234" spans="3:14" x14ac:dyDescent="0.25">
      <c r="C234" s="99">
        <v>117</v>
      </c>
      <c r="D234" s="100" t="s">
        <v>396</v>
      </c>
      <c r="E234" s="100">
        <v>31</v>
      </c>
      <c r="F234" s="100" t="s">
        <v>608</v>
      </c>
      <c r="G234" s="101">
        <v>6.4</v>
      </c>
      <c r="H234" s="101">
        <v>19840</v>
      </c>
      <c r="I234" s="100" t="s">
        <v>634</v>
      </c>
      <c r="J234" s="101">
        <v>0</v>
      </c>
      <c r="K234" s="101">
        <v>0</v>
      </c>
      <c r="L234" s="100" t="s">
        <v>465</v>
      </c>
      <c r="M234" s="100">
        <v>19819.23</v>
      </c>
      <c r="N234" s="121">
        <v>9.6699999999999994E-2</v>
      </c>
    </row>
    <row r="235" spans="3:14" x14ac:dyDescent="0.25">
      <c r="C235" s="99">
        <v>118</v>
      </c>
      <c r="D235" s="100" t="s">
        <v>396</v>
      </c>
      <c r="E235" s="100">
        <v>31</v>
      </c>
      <c r="F235" s="100" t="s">
        <v>587</v>
      </c>
      <c r="G235" s="101">
        <v>6.1</v>
      </c>
      <c r="H235" s="101">
        <v>18910</v>
      </c>
      <c r="I235" s="100" t="s">
        <v>634</v>
      </c>
      <c r="J235" s="101">
        <v>0</v>
      </c>
      <c r="K235" s="101">
        <v>0</v>
      </c>
      <c r="L235" s="100" t="s">
        <v>465</v>
      </c>
      <c r="M235" s="100">
        <v>18889.23</v>
      </c>
      <c r="N235" s="121">
        <v>9.5399999999999999E-2</v>
      </c>
    </row>
    <row r="236" spans="3:14" x14ac:dyDescent="0.25">
      <c r="C236" s="99">
        <v>119</v>
      </c>
      <c r="D236" s="100" t="s">
        <v>396</v>
      </c>
      <c r="E236" s="100">
        <v>33</v>
      </c>
      <c r="F236" s="100" t="s">
        <v>611</v>
      </c>
      <c r="G236" s="101">
        <v>6.45</v>
      </c>
      <c r="H236" s="101">
        <v>21285</v>
      </c>
      <c r="I236" s="100" t="s">
        <v>634</v>
      </c>
      <c r="J236" s="101">
        <v>0</v>
      </c>
      <c r="K236" s="101">
        <v>0</v>
      </c>
      <c r="L236" s="100" t="s">
        <v>465</v>
      </c>
      <c r="M236" s="100">
        <v>21262.89</v>
      </c>
      <c r="N236" s="121">
        <v>9.4E-2</v>
      </c>
    </row>
    <row r="237" spans="3:14" x14ac:dyDescent="0.25">
      <c r="C237" s="99">
        <v>120</v>
      </c>
      <c r="D237" s="100" t="s">
        <v>703</v>
      </c>
      <c r="E237" s="100">
        <v>19</v>
      </c>
      <c r="F237" s="100" t="s">
        <v>626</v>
      </c>
      <c r="G237" s="101">
        <v>11.2</v>
      </c>
      <c r="H237" s="101">
        <v>21280</v>
      </c>
      <c r="I237" s="100" t="s">
        <v>647</v>
      </c>
      <c r="J237" s="101">
        <v>0</v>
      </c>
      <c r="K237" s="101">
        <v>0</v>
      </c>
      <c r="L237" s="100" t="s">
        <v>465</v>
      </c>
      <c r="M237" s="100">
        <v>21267.27</v>
      </c>
      <c r="N237" s="121">
        <v>0.59540000000000004</v>
      </c>
    </row>
    <row r="238" spans="3:14" x14ac:dyDescent="0.25">
      <c r="C238" s="99">
        <v>121</v>
      </c>
      <c r="D238" s="100" t="s">
        <v>703</v>
      </c>
      <c r="E238" s="100">
        <v>22</v>
      </c>
      <c r="F238" s="100" t="s">
        <v>629</v>
      </c>
      <c r="G238" s="101">
        <v>10.1</v>
      </c>
      <c r="H238" s="101">
        <v>22220</v>
      </c>
      <c r="I238" s="100" t="s">
        <v>647</v>
      </c>
      <c r="J238" s="101">
        <v>0</v>
      </c>
      <c r="K238" s="101">
        <v>0</v>
      </c>
      <c r="L238" s="100" t="s">
        <v>465</v>
      </c>
      <c r="M238" s="100">
        <v>22205.26</v>
      </c>
      <c r="N238" s="121">
        <v>0.53400000000000003</v>
      </c>
    </row>
    <row r="239" spans="3:14" x14ac:dyDescent="0.25">
      <c r="C239" s="99">
        <v>122</v>
      </c>
      <c r="D239" s="100" t="s">
        <v>703</v>
      </c>
      <c r="E239" s="100">
        <v>23</v>
      </c>
      <c r="F239" s="100" t="s">
        <v>630</v>
      </c>
      <c r="G239" s="101">
        <v>9.3000000000000007</v>
      </c>
      <c r="H239" s="101">
        <v>21390</v>
      </c>
      <c r="I239" s="100" t="s">
        <v>647</v>
      </c>
      <c r="J239" s="101">
        <v>0</v>
      </c>
      <c r="K239" s="101">
        <v>0</v>
      </c>
      <c r="L239" s="100" t="s">
        <v>465</v>
      </c>
      <c r="M239" s="100">
        <v>21374.59</v>
      </c>
      <c r="N239" s="121">
        <v>0.497</v>
      </c>
    </row>
    <row r="240" spans="3:14" x14ac:dyDescent="0.25">
      <c r="C240" s="99">
        <v>123</v>
      </c>
      <c r="D240" s="100" t="s">
        <v>635</v>
      </c>
      <c r="E240" s="100">
        <v>8</v>
      </c>
      <c r="F240" s="100" t="s">
        <v>632</v>
      </c>
      <c r="G240" s="101">
        <v>27.6</v>
      </c>
      <c r="H240" s="101">
        <v>22080</v>
      </c>
      <c r="I240" s="100" t="s">
        <v>647</v>
      </c>
      <c r="J240" s="101">
        <v>0</v>
      </c>
      <c r="K240" s="101">
        <v>0</v>
      </c>
      <c r="L240" s="100" t="s">
        <v>465</v>
      </c>
      <c r="M240" s="100">
        <v>22074.639999999999</v>
      </c>
      <c r="N240" s="121">
        <v>0.25690000000000002</v>
      </c>
    </row>
    <row r="241" spans="3:14" x14ac:dyDescent="0.25">
      <c r="C241" s="99">
        <v>124</v>
      </c>
      <c r="D241" s="100" t="s">
        <v>635</v>
      </c>
      <c r="E241" s="100">
        <v>9</v>
      </c>
      <c r="F241" s="100" t="s">
        <v>648</v>
      </c>
      <c r="G241" s="101">
        <v>26</v>
      </c>
      <c r="H241" s="101">
        <v>23400</v>
      </c>
      <c r="I241" s="100" t="s">
        <v>647</v>
      </c>
      <c r="J241" s="101">
        <v>0</v>
      </c>
      <c r="K241" s="101">
        <v>0</v>
      </c>
      <c r="L241" s="100" t="s">
        <v>465</v>
      </c>
      <c r="M241" s="100">
        <v>23393.97</v>
      </c>
      <c r="N241" s="121">
        <v>0.24990000000000001</v>
      </c>
    </row>
    <row r="242" spans="3:14" x14ac:dyDescent="0.25">
      <c r="C242" s="99">
        <v>125</v>
      </c>
      <c r="D242" s="100" t="s">
        <v>635</v>
      </c>
      <c r="E242" s="100">
        <v>9</v>
      </c>
      <c r="F242" s="100" t="s">
        <v>639</v>
      </c>
      <c r="G242" s="101">
        <v>25.5</v>
      </c>
      <c r="H242" s="101">
        <v>22950</v>
      </c>
      <c r="I242" s="100" t="s">
        <v>666</v>
      </c>
      <c r="J242" s="101">
        <v>0</v>
      </c>
      <c r="K242" s="101">
        <v>0</v>
      </c>
      <c r="L242" s="100" t="s">
        <v>465</v>
      </c>
      <c r="M242" s="100">
        <v>22943.97</v>
      </c>
      <c r="N242" s="121">
        <v>0.24399999999999999</v>
      </c>
    </row>
    <row r="243" spans="3:14" x14ac:dyDescent="0.25">
      <c r="C243" s="99">
        <v>126</v>
      </c>
      <c r="D243" s="100" t="s">
        <v>635</v>
      </c>
      <c r="E243" s="100">
        <v>11</v>
      </c>
      <c r="F243" s="100" t="s">
        <v>664</v>
      </c>
      <c r="G243" s="101">
        <v>20.5</v>
      </c>
      <c r="H243" s="101">
        <v>22550</v>
      </c>
      <c r="I243" s="100" t="s">
        <v>666</v>
      </c>
      <c r="J243" s="101">
        <v>0</v>
      </c>
      <c r="K243" s="101">
        <v>0</v>
      </c>
      <c r="L243" s="100" t="s">
        <v>465</v>
      </c>
      <c r="M243" s="100">
        <v>22542.63</v>
      </c>
      <c r="N243" s="121">
        <v>0.1961</v>
      </c>
    </row>
    <row r="244" spans="3:14" x14ac:dyDescent="0.25">
      <c r="C244" s="99">
        <v>127</v>
      </c>
      <c r="D244" s="100" t="s">
        <v>615</v>
      </c>
      <c r="E244" s="100">
        <v>5</v>
      </c>
      <c r="F244" s="100" t="s">
        <v>616</v>
      </c>
      <c r="G244" s="101">
        <v>38.5</v>
      </c>
      <c r="H244" s="101">
        <v>19250</v>
      </c>
      <c r="I244" s="100" t="s">
        <v>679</v>
      </c>
      <c r="J244" s="101">
        <v>0</v>
      </c>
      <c r="K244" s="101">
        <v>0</v>
      </c>
      <c r="L244" s="100" t="s">
        <v>465</v>
      </c>
      <c r="M244" s="100">
        <v>19246.650000000001</v>
      </c>
      <c r="N244" s="121">
        <v>0.44500000000000001</v>
      </c>
    </row>
    <row r="245" spans="3:14" x14ac:dyDescent="0.25">
      <c r="C245" s="99">
        <v>128</v>
      </c>
      <c r="D245" s="100" t="s">
        <v>524</v>
      </c>
      <c r="E245" s="100">
        <v>48</v>
      </c>
      <c r="F245" s="100" t="s">
        <v>594</v>
      </c>
      <c r="G245" s="101">
        <v>5.3</v>
      </c>
      <c r="H245" s="101">
        <v>25440</v>
      </c>
      <c r="I245" s="100" t="s">
        <v>705</v>
      </c>
      <c r="J245" s="101">
        <v>0</v>
      </c>
      <c r="K245" s="101">
        <v>0</v>
      </c>
      <c r="L245" s="100" t="s">
        <v>465</v>
      </c>
      <c r="M245" s="100">
        <v>25407.84</v>
      </c>
      <c r="N245" s="121">
        <v>9.5000000000000001E-2</v>
      </c>
    </row>
    <row r="246" spans="3:14" x14ac:dyDescent="0.25">
      <c r="C246" s="99">
        <v>129</v>
      </c>
      <c r="D246" s="100" t="s">
        <v>524</v>
      </c>
      <c r="E246" s="100">
        <v>37</v>
      </c>
      <c r="F246" s="100" t="s">
        <v>590</v>
      </c>
      <c r="G246" s="101">
        <v>6.15</v>
      </c>
      <c r="H246" s="101">
        <v>22755</v>
      </c>
      <c r="I246" s="100" t="s">
        <v>705</v>
      </c>
      <c r="J246" s="101">
        <v>0</v>
      </c>
      <c r="K246" s="101">
        <v>0</v>
      </c>
      <c r="L246" s="100" t="s">
        <v>465</v>
      </c>
      <c r="M246" s="100">
        <v>22730.21</v>
      </c>
      <c r="N246" s="121">
        <v>0.10440000000000001</v>
      </c>
    </row>
    <row r="247" spans="3:14" x14ac:dyDescent="0.25">
      <c r="C247" s="99">
        <v>130</v>
      </c>
      <c r="D247" s="100" t="s">
        <v>524</v>
      </c>
      <c r="E247" s="100">
        <v>40</v>
      </c>
      <c r="F247" s="100" t="s">
        <v>602</v>
      </c>
      <c r="G247" s="101">
        <v>5.65</v>
      </c>
      <c r="H247" s="101">
        <v>22600</v>
      </c>
      <c r="I247" s="100" t="s">
        <v>705</v>
      </c>
      <c r="J247" s="101">
        <v>0</v>
      </c>
      <c r="K247" s="101">
        <v>0</v>
      </c>
      <c r="L247" s="100" t="s">
        <v>465</v>
      </c>
      <c r="M247" s="100">
        <v>22573.200000000001</v>
      </c>
      <c r="N247" s="121">
        <v>9.35E-2</v>
      </c>
    </row>
    <row r="248" spans="3:14" x14ac:dyDescent="0.25">
      <c r="C248" s="99">
        <v>131</v>
      </c>
      <c r="D248" s="100" t="s">
        <v>581</v>
      </c>
      <c r="E248" s="100">
        <v>40</v>
      </c>
      <c r="F248" s="100" t="s">
        <v>617</v>
      </c>
      <c r="G248" s="101">
        <v>5.3</v>
      </c>
      <c r="H248" s="101">
        <v>21200</v>
      </c>
      <c r="I248" s="100" t="s">
        <v>705</v>
      </c>
      <c r="J248" s="101">
        <v>0</v>
      </c>
      <c r="K248" s="101">
        <v>0</v>
      </c>
      <c r="L248" s="100" t="s">
        <v>465</v>
      </c>
      <c r="M248" s="100">
        <v>21173.200000000001</v>
      </c>
      <c r="N248" s="121">
        <v>0.24390000000000001</v>
      </c>
    </row>
    <row r="249" spans="3:14" x14ac:dyDescent="0.25">
      <c r="C249" s="99">
        <v>132</v>
      </c>
      <c r="D249" s="100" t="s">
        <v>581</v>
      </c>
      <c r="E249" s="100">
        <v>42</v>
      </c>
      <c r="F249" s="100" t="s">
        <v>619</v>
      </c>
      <c r="G249" s="101">
        <v>5.0999999999999996</v>
      </c>
      <c r="H249" s="101">
        <v>21420</v>
      </c>
      <c r="I249" s="100" t="s">
        <v>705</v>
      </c>
      <c r="J249" s="101">
        <v>0</v>
      </c>
      <c r="K249" s="101">
        <v>0</v>
      </c>
      <c r="L249" s="100" t="s">
        <v>465</v>
      </c>
      <c r="M249" s="100">
        <v>21391.86</v>
      </c>
      <c r="N249" s="121">
        <v>0.2361</v>
      </c>
    </row>
    <row r="250" spans="3:14" x14ac:dyDescent="0.25">
      <c r="C250" s="99">
        <v>133</v>
      </c>
      <c r="D250" s="100" t="s">
        <v>703</v>
      </c>
      <c r="E250" s="100">
        <v>20</v>
      </c>
      <c r="F250" s="100" t="s">
        <v>613</v>
      </c>
      <c r="G250" s="101">
        <v>10.7</v>
      </c>
      <c r="H250" s="101">
        <v>21400</v>
      </c>
      <c r="I250" s="100" t="s">
        <v>705</v>
      </c>
      <c r="J250" s="101">
        <v>0</v>
      </c>
      <c r="K250" s="101">
        <v>0</v>
      </c>
      <c r="L250" s="100" t="s">
        <v>465</v>
      </c>
      <c r="M250" s="100">
        <v>21386.6</v>
      </c>
      <c r="N250" s="121">
        <v>0.55410000000000004</v>
      </c>
    </row>
    <row r="251" spans="3:14" x14ac:dyDescent="0.25">
      <c r="C251" s="99">
        <v>134</v>
      </c>
      <c r="D251" s="100" t="s">
        <v>703</v>
      </c>
      <c r="E251" s="100">
        <v>20</v>
      </c>
      <c r="F251" s="100" t="s">
        <v>609</v>
      </c>
      <c r="G251" s="101">
        <v>10.7</v>
      </c>
      <c r="H251" s="101">
        <v>21400</v>
      </c>
      <c r="I251" s="100" t="s">
        <v>705</v>
      </c>
      <c r="J251" s="101">
        <v>0</v>
      </c>
      <c r="K251" s="101">
        <v>0</v>
      </c>
      <c r="L251" s="100" t="s">
        <v>465</v>
      </c>
      <c r="M251" s="100">
        <v>21386.6</v>
      </c>
      <c r="N251" s="121">
        <v>0.58430000000000004</v>
      </c>
    </row>
    <row r="252" spans="3:14" x14ac:dyDescent="0.25">
      <c r="C252" s="99">
        <v>135</v>
      </c>
      <c r="D252" s="100" t="s">
        <v>703</v>
      </c>
      <c r="E252" s="100">
        <v>23</v>
      </c>
      <c r="F252" s="100" t="s">
        <v>610</v>
      </c>
      <c r="G252" s="101">
        <v>9.6999999999999993</v>
      </c>
      <c r="H252" s="101">
        <v>22310</v>
      </c>
      <c r="I252" s="100" t="s">
        <v>705</v>
      </c>
      <c r="J252" s="101">
        <v>0</v>
      </c>
      <c r="K252" s="101">
        <v>0</v>
      </c>
      <c r="L252" s="100" t="s">
        <v>465</v>
      </c>
      <c r="M252" s="100">
        <v>22294.59</v>
      </c>
      <c r="N252" s="121">
        <v>0.52969999999999995</v>
      </c>
    </row>
    <row r="253" spans="3:14" x14ac:dyDescent="0.25">
      <c r="C253" s="99">
        <v>136</v>
      </c>
      <c r="D253" s="100" t="s">
        <v>703</v>
      </c>
      <c r="E253" s="100">
        <v>24</v>
      </c>
      <c r="F253" s="100" t="s">
        <v>631</v>
      </c>
      <c r="G253" s="101">
        <v>9</v>
      </c>
      <c r="H253" s="101">
        <v>21600</v>
      </c>
      <c r="I253" s="100" t="s">
        <v>705</v>
      </c>
      <c r="J253" s="101">
        <v>0</v>
      </c>
      <c r="K253" s="101">
        <v>0</v>
      </c>
      <c r="L253" s="100" t="s">
        <v>465</v>
      </c>
      <c r="M253" s="100">
        <v>21583.919999999998</v>
      </c>
      <c r="N253" s="121">
        <v>0.49959999999999999</v>
      </c>
    </row>
    <row r="254" spans="3:14" x14ac:dyDescent="0.25">
      <c r="C254" s="99">
        <v>137</v>
      </c>
      <c r="D254" s="100" t="s">
        <v>581</v>
      </c>
      <c r="E254" s="100">
        <v>43</v>
      </c>
      <c r="F254" s="100" t="s">
        <v>1354</v>
      </c>
      <c r="G254" s="101">
        <v>5.0999999999999996</v>
      </c>
      <c r="H254" s="101">
        <v>21930</v>
      </c>
      <c r="I254" s="100" t="s">
        <v>705</v>
      </c>
      <c r="J254" s="101">
        <v>0</v>
      </c>
      <c r="K254" s="101">
        <v>0</v>
      </c>
      <c r="L254" s="100" t="s">
        <v>465</v>
      </c>
      <c r="M254" s="100">
        <v>21901.19</v>
      </c>
      <c r="N254" s="121">
        <v>0.19919999999999999</v>
      </c>
    </row>
    <row r="255" spans="3:14" x14ac:dyDescent="0.25">
      <c r="C255" s="99">
        <v>138</v>
      </c>
      <c r="D255" s="100" t="s">
        <v>581</v>
      </c>
      <c r="E255" s="100">
        <v>43</v>
      </c>
      <c r="F255" s="100" t="s">
        <v>1355</v>
      </c>
      <c r="G255" s="101">
        <v>5.0999999999999996</v>
      </c>
      <c r="H255" s="101">
        <v>21930</v>
      </c>
      <c r="I255" s="100" t="s">
        <v>705</v>
      </c>
      <c r="J255" s="101">
        <v>0</v>
      </c>
      <c r="K255" s="101">
        <v>0</v>
      </c>
      <c r="L255" s="100" t="s">
        <v>465</v>
      </c>
      <c r="M255" s="100">
        <v>21901.19</v>
      </c>
      <c r="N255" s="121">
        <v>0.2019</v>
      </c>
    </row>
    <row r="256" spans="3:14" x14ac:dyDescent="0.25">
      <c r="C256" s="99">
        <v>139</v>
      </c>
      <c r="D256" s="100" t="s">
        <v>581</v>
      </c>
      <c r="E256" s="100">
        <v>44</v>
      </c>
      <c r="F256" s="100" t="s">
        <v>1356</v>
      </c>
      <c r="G256" s="101">
        <v>5</v>
      </c>
      <c r="H256" s="101">
        <v>22000</v>
      </c>
      <c r="I256" s="100" t="s">
        <v>705</v>
      </c>
      <c r="J256" s="101">
        <v>0</v>
      </c>
      <c r="K256" s="101">
        <v>0</v>
      </c>
      <c r="L256" s="100" t="s">
        <v>465</v>
      </c>
      <c r="M256" s="100">
        <v>21970.52</v>
      </c>
      <c r="N256" s="121">
        <v>0.2024</v>
      </c>
    </row>
    <row r="257" spans="3:14" x14ac:dyDescent="0.25">
      <c r="C257" s="99">
        <v>140</v>
      </c>
      <c r="D257" s="100" t="s">
        <v>581</v>
      </c>
      <c r="E257" s="100">
        <v>46</v>
      </c>
      <c r="F257" s="100" t="s">
        <v>1357</v>
      </c>
      <c r="G257" s="101">
        <v>4.8</v>
      </c>
      <c r="H257" s="101">
        <v>22080</v>
      </c>
      <c r="I257" s="100" t="s">
        <v>705</v>
      </c>
      <c r="J257" s="101">
        <v>0</v>
      </c>
      <c r="K257" s="101">
        <v>0</v>
      </c>
      <c r="L257" s="100" t="s">
        <v>465</v>
      </c>
      <c r="M257" s="100">
        <v>22049.18</v>
      </c>
      <c r="N257" s="121">
        <v>0.19539999999999999</v>
      </c>
    </row>
    <row r="258" spans="3:14" x14ac:dyDescent="0.25">
      <c r="C258" s="99">
        <v>141</v>
      </c>
      <c r="D258" s="100" t="s">
        <v>581</v>
      </c>
      <c r="E258" s="100">
        <v>46</v>
      </c>
      <c r="F258" s="100" t="s">
        <v>612</v>
      </c>
      <c r="G258" s="101">
        <v>4.8</v>
      </c>
      <c r="H258" s="101">
        <v>22080</v>
      </c>
      <c r="I258" s="100" t="s">
        <v>705</v>
      </c>
      <c r="J258" s="101">
        <v>0</v>
      </c>
      <c r="K258" s="101">
        <v>0</v>
      </c>
      <c r="L258" s="100" t="s">
        <v>465</v>
      </c>
      <c r="M258" s="100">
        <v>22049.18</v>
      </c>
      <c r="N258" s="121">
        <v>0.19020000000000001</v>
      </c>
    </row>
    <row r="259" spans="3:14" x14ac:dyDescent="0.25">
      <c r="C259" s="99">
        <v>142</v>
      </c>
      <c r="D259" s="100" t="s">
        <v>581</v>
      </c>
      <c r="E259" s="100">
        <v>48</v>
      </c>
      <c r="F259" s="100" t="s">
        <v>1358</v>
      </c>
      <c r="G259" s="101">
        <v>4.7</v>
      </c>
      <c r="H259" s="101">
        <v>22560</v>
      </c>
      <c r="I259" s="100" t="s">
        <v>705</v>
      </c>
      <c r="J259" s="101">
        <v>0</v>
      </c>
      <c r="K259" s="101">
        <v>0</v>
      </c>
      <c r="L259" s="100" t="s">
        <v>465</v>
      </c>
      <c r="M259" s="100">
        <v>22527.84</v>
      </c>
      <c r="N259" s="121">
        <v>0.1762</v>
      </c>
    </row>
    <row r="260" spans="3:14" x14ac:dyDescent="0.25">
      <c r="C260" s="99">
        <v>143</v>
      </c>
      <c r="D260" s="100" t="s">
        <v>548</v>
      </c>
      <c r="E260" s="100">
        <v>27</v>
      </c>
      <c r="F260" s="100" t="s">
        <v>618</v>
      </c>
      <c r="G260" s="101">
        <v>8.5</v>
      </c>
      <c r="H260" s="101">
        <v>22950</v>
      </c>
      <c r="I260" s="100" t="s">
        <v>705</v>
      </c>
      <c r="J260" s="101">
        <v>0</v>
      </c>
      <c r="K260" s="101">
        <v>0</v>
      </c>
      <c r="L260" s="100" t="s">
        <v>465</v>
      </c>
      <c r="M260" s="100">
        <v>22931.91</v>
      </c>
      <c r="N260" s="121">
        <v>0.39500000000000002</v>
      </c>
    </row>
    <row r="261" spans="3:14" x14ac:dyDescent="0.25">
      <c r="C261" s="99">
        <v>144</v>
      </c>
      <c r="D261" s="100" t="s">
        <v>703</v>
      </c>
      <c r="E261" s="100">
        <v>27</v>
      </c>
      <c r="F261" s="100" t="s">
        <v>1359</v>
      </c>
      <c r="G261" s="101">
        <v>8.4</v>
      </c>
      <c r="H261" s="101">
        <v>22680</v>
      </c>
      <c r="I261" s="100" t="s">
        <v>705</v>
      </c>
      <c r="J261" s="101">
        <v>0</v>
      </c>
      <c r="K261" s="101">
        <v>0</v>
      </c>
      <c r="L261" s="100" t="s">
        <v>465</v>
      </c>
      <c r="M261" s="100">
        <v>22661.91</v>
      </c>
      <c r="N261" s="121">
        <v>0.47689999999999999</v>
      </c>
    </row>
    <row r="262" spans="3:14" x14ac:dyDescent="0.25">
      <c r="C262" s="99">
        <v>145</v>
      </c>
      <c r="D262" s="100" t="s">
        <v>635</v>
      </c>
      <c r="E262" s="100">
        <v>8</v>
      </c>
      <c r="F262" s="100" t="s">
        <v>628</v>
      </c>
      <c r="G262" s="101">
        <v>28.8</v>
      </c>
      <c r="H262" s="101">
        <v>23040</v>
      </c>
      <c r="I262" s="100" t="s">
        <v>705</v>
      </c>
      <c r="J262" s="101">
        <v>0</v>
      </c>
      <c r="K262" s="101">
        <v>0</v>
      </c>
      <c r="L262" s="100" t="s">
        <v>465</v>
      </c>
      <c r="M262" s="100">
        <v>23034.639999999999</v>
      </c>
      <c r="N262" s="121">
        <v>0.27110000000000001</v>
      </c>
    </row>
    <row r="263" spans="3:14" x14ac:dyDescent="0.25">
      <c r="C263" s="99">
        <v>146</v>
      </c>
      <c r="D263" s="100" t="s">
        <v>635</v>
      </c>
      <c r="E263" s="100">
        <v>9</v>
      </c>
      <c r="F263" s="100" t="s">
        <v>637</v>
      </c>
      <c r="G263" s="101">
        <v>25.8</v>
      </c>
      <c r="H263" s="101">
        <v>23220</v>
      </c>
      <c r="I263" s="100" t="s">
        <v>705</v>
      </c>
      <c r="J263" s="101">
        <v>0</v>
      </c>
      <c r="K263" s="101">
        <v>0</v>
      </c>
      <c r="L263" s="100" t="s">
        <v>465</v>
      </c>
      <c r="M263" s="100">
        <v>23213.97</v>
      </c>
      <c r="N263" s="121">
        <v>0.2475</v>
      </c>
    </row>
    <row r="264" spans="3:14" x14ac:dyDescent="0.25">
      <c r="C264" s="99">
        <v>147</v>
      </c>
      <c r="D264" s="100" t="s">
        <v>635</v>
      </c>
      <c r="E264" s="100">
        <v>11</v>
      </c>
      <c r="F264" s="100" t="s">
        <v>638</v>
      </c>
      <c r="G264" s="101">
        <v>21.6</v>
      </c>
      <c r="H264" s="101">
        <v>23760</v>
      </c>
      <c r="I264" s="100" t="s">
        <v>705</v>
      </c>
      <c r="J264" s="101">
        <v>0</v>
      </c>
      <c r="K264" s="101">
        <v>0</v>
      </c>
      <c r="L264" s="100" t="s">
        <v>465</v>
      </c>
      <c r="M264" s="100">
        <v>23752.63</v>
      </c>
      <c r="N264" s="121">
        <v>0.20880000000000001</v>
      </c>
    </row>
    <row r="265" spans="3:14" x14ac:dyDescent="0.25">
      <c r="C265" s="99">
        <v>148</v>
      </c>
      <c r="D265" s="100" t="s">
        <v>635</v>
      </c>
      <c r="E265" s="100">
        <v>10</v>
      </c>
      <c r="F265" s="100" t="s">
        <v>665</v>
      </c>
      <c r="G265" s="101">
        <v>23.1</v>
      </c>
      <c r="H265" s="101">
        <v>23100</v>
      </c>
      <c r="I265" s="100" t="s">
        <v>719</v>
      </c>
      <c r="J265" s="101">
        <v>0</v>
      </c>
      <c r="K265" s="101">
        <v>0</v>
      </c>
      <c r="L265" s="100" t="s">
        <v>465</v>
      </c>
      <c r="M265" s="100">
        <v>23093.3</v>
      </c>
      <c r="N265" s="121">
        <v>0.2266</v>
      </c>
    </row>
    <row r="266" spans="3:14" x14ac:dyDescent="0.25">
      <c r="C266" s="99">
        <v>149</v>
      </c>
      <c r="D266" s="100" t="s">
        <v>635</v>
      </c>
      <c r="E266" s="100">
        <v>10</v>
      </c>
      <c r="F266" s="100" t="s">
        <v>654</v>
      </c>
      <c r="G266" s="101">
        <v>27.3</v>
      </c>
      <c r="H266" s="101">
        <v>27300</v>
      </c>
      <c r="I266" s="100" t="s">
        <v>719</v>
      </c>
      <c r="J266" s="101">
        <v>0</v>
      </c>
      <c r="K266" s="101">
        <v>0</v>
      </c>
      <c r="L266" s="100" t="s">
        <v>465</v>
      </c>
      <c r="M266" s="100">
        <v>27293.3</v>
      </c>
      <c r="N266" s="121">
        <v>0.2422</v>
      </c>
    </row>
    <row r="267" spans="3:14" x14ac:dyDescent="0.25">
      <c r="C267" s="99">
        <v>150</v>
      </c>
      <c r="D267" s="100" t="s">
        <v>635</v>
      </c>
      <c r="E267" s="100">
        <v>12</v>
      </c>
      <c r="F267" s="100" t="s">
        <v>675</v>
      </c>
      <c r="G267" s="101">
        <v>22.4</v>
      </c>
      <c r="H267" s="101">
        <v>26880</v>
      </c>
      <c r="I267" s="100" t="s">
        <v>719</v>
      </c>
      <c r="J267" s="101">
        <v>0</v>
      </c>
      <c r="K267" s="101">
        <v>0</v>
      </c>
      <c r="L267" s="100" t="s">
        <v>465</v>
      </c>
      <c r="M267" s="100">
        <v>26871.96</v>
      </c>
      <c r="N267" s="121">
        <v>0.19889999999999999</v>
      </c>
    </row>
    <row r="268" spans="3:14" x14ac:dyDescent="0.25">
      <c r="C268" s="99">
        <v>151</v>
      </c>
      <c r="D268" s="100" t="s">
        <v>635</v>
      </c>
      <c r="E268" s="100">
        <v>19</v>
      </c>
      <c r="F268" s="100" t="s">
        <v>1360</v>
      </c>
      <c r="G268" s="101">
        <v>15.5</v>
      </c>
      <c r="H268" s="101">
        <v>29450</v>
      </c>
      <c r="I268" s="100" t="s">
        <v>719</v>
      </c>
      <c r="J268" s="101">
        <v>0</v>
      </c>
      <c r="K268" s="101">
        <v>0</v>
      </c>
      <c r="L268" s="100" t="s">
        <v>465</v>
      </c>
      <c r="M268" s="100">
        <v>29437.27</v>
      </c>
      <c r="N268" s="121">
        <v>0.1353</v>
      </c>
    </row>
    <row r="269" spans="3:14" x14ac:dyDescent="0.25">
      <c r="C269" s="99">
        <v>152</v>
      </c>
      <c r="D269" s="100" t="s">
        <v>635</v>
      </c>
      <c r="E269" s="100">
        <v>10</v>
      </c>
      <c r="F269" s="100" t="s">
        <v>677</v>
      </c>
      <c r="G269" s="101">
        <v>28.9</v>
      </c>
      <c r="H269" s="101">
        <v>28900</v>
      </c>
      <c r="I269" s="100" t="s">
        <v>719</v>
      </c>
      <c r="J269" s="101">
        <v>0</v>
      </c>
      <c r="K269" s="101">
        <v>0</v>
      </c>
      <c r="L269" s="100" t="s">
        <v>465</v>
      </c>
      <c r="M269" s="100">
        <v>28893.3</v>
      </c>
      <c r="N269" s="121">
        <v>0.24890000000000001</v>
      </c>
    </row>
    <row r="270" spans="3:14" x14ac:dyDescent="0.25">
      <c r="C270" s="99">
        <v>153</v>
      </c>
      <c r="D270" s="100" t="s">
        <v>731</v>
      </c>
      <c r="E270" s="100">
        <v>18</v>
      </c>
      <c r="F270" s="100" t="s">
        <v>732</v>
      </c>
      <c r="G270" s="101">
        <v>15.2</v>
      </c>
      <c r="H270" s="101">
        <v>27360</v>
      </c>
      <c r="I270" s="100" t="s">
        <v>758</v>
      </c>
      <c r="J270" s="101">
        <v>0</v>
      </c>
      <c r="K270" s="101">
        <v>0</v>
      </c>
      <c r="L270" s="100" t="s">
        <v>465</v>
      </c>
      <c r="M270" s="100">
        <v>27347.94</v>
      </c>
      <c r="N270" s="121">
        <v>0.38169999999999998</v>
      </c>
    </row>
    <row r="271" spans="3:14" x14ac:dyDescent="0.25">
      <c r="C271" s="99">
        <v>154</v>
      </c>
      <c r="D271" s="100" t="s">
        <v>731</v>
      </c>
      <c r="E271" s="100">
        <v>33</v>
      </c>
      <c r="F271" s="100" t="s">
        <v>757</v>
      </c>
      <c r="G271" s="101">
        <v>8.6999999999999993</v>
      </c>
      <c r="H271" s="101">
        <v>28710</v>
      </c>
      <c r="I271" s="100" t="s">
        <v>758</v>
      </c>
      <c r="J271" s="101">
        <v>0</v>
      </c>
      <c r="K271" s="101">
        <v>0</v>
      </c>
      <c r="L271" s="100" t="s">
        <v>465</v>
      </c>
      <c r="M271" s="100">
        <v>28687.89</v>
      </c>
      <c r="N271" s="121">
        <v>0.21049999999999999</v>
      </c>
    </row>
    <row r="272" spans="3:14" x14ac:dyDescent="0.25">
      <c r="C272" s="99">
        <v>155</v>
      </c>
      <c r="D272" s="100" t="s">
        <v>788</v>
      </c>
      <c r="E272" s="100">
        <v>31</v>
      </c>
      <c r="F272" s="100" t="s">
        <v>789</v>
      </c>
      <c r="G272" s="101">
        <v>9.1</v>
      </c>
      <c r="H272" s="101">
        <v>28210</v>
      </c>
      <c r="I272" s="100" t="s">
        <v>790</v>
      </c>
      <c r="J272" s="101">
        <v>0</v>
      </c>
      <c r="K272" s="101">
        <v>0</v>
      </c>
      <c r="L272" s="100" t="s">
        <v>465</v>
      </c>
      <c r="M272" s="100">
        <v>28189.23</v>
      </c>
      <c r="N272" s="121">
        <v>0.45689999999999997</v>
      </c>
    </row>
    <row r="273" spans="3:14" x14ac:dyDescent="0.25">
      <c r="C273" s="99">
        <v>156</v>
      </c>
      <c r="D273" s="100" t="s">
        <v>788</v>
      </c>
      <c r="E273" s="100">
        <v>36</v>
      </c>
      <c r="F273" s="100" t="s">
        <v>738</v>
      </c>
      <c r="G273" s="101">
        <v>7.4</v>
      </c>
      <c r="H273" s="101">
        <v>26640</v>
      </c>
      <c r="I273" s="100" t="s">
        <v>790</v>
      </c>
      <c r="J273" s="101">
        <v>0</v>
      </c>
      <c r="K273" s="101">
        <v>0</v>
      </c>
      <c r="L273" s="100" t="s">
        <v>465</v>
      </c>
      <c r="M273" s="100">
        <v>26615.88</v>
      </c>
      <c r="N273" s="121">
        <v>0.3589</v>
      </c>
    </row>
    <row r="274" spans="3:14" x14ac:dyDescent="0.25">
      <c r="C274" s="99">
        <v>157</v>
      </c>
      <c r="D274" s="100" t="s">
        <v>788</v>
      </c>
      <c r="E274" s="100">
        <v>38</v>
      </c>
      <c r="F274" s="100" t="s">
        <v>743</v>
      </c>
      <c r="G274" s="101">
        <v>6.6</v>
      </c>
      <c r="H274" s="101">
        <v>25080</v>
      </c>
      <c r="I274" s="100" t="s">
        <v>790</v>
      </c>
      <c r="J274" s="101">
        <v>0</v>
      </c>
      <c r="K274" s="101">
        <v>0</v>
      </c>
      <c r="L274" s="100" t="s">
        <v>465</v>
      </c>
      <c r="M274" s="100">
        <v>25054.54</v>
      </c>
      <c r="N274" s="121">
        <v>0.32319999999999999</v>
      </c>
    </row>
    <row r="275" spans="3:14" x14ac:dyDescent="0.25">
      <c r="C275" s="99">
        <v>158</v>
      </c>
      <c r="D275" s="100" t="s">
        <v>731</v>
      </c>
      <c r="E275" s="100">
        <v>15</v>
      </c>
      <c r="F275" s="100" t="s">
        <v>753</v>
      </c>
      <c r="G275" s="101">
        <v>18.5</v>
      </c>
      <c r="H275" s="101">
        <v>27750</v>
      </c>
      <c r="I275" s="100" t="s">
        <v>796</v>
      </c>
      <c r="J275" s="101">
        <v>0</v>
      </c>
      <c r="K275" s="101">
        <v>0</v>
      </c>
      <c r="L275" s="100" t="s">
        <v>465</v>
      </c>
      <c r="M275" s="100">
        <v>27739.95</v>
      </c>
      <c r="N275" s="121">
        <v>0.4456</v>
      </c>
    </row>
    <row r="276" spans="3:14" x14ac:dyDescent="0.25">
      <c r="C276" s="99">
        <v>159</v>
      </c>
      <c r="D276" s="100" t="s">
        <v>731</v>
      </c>
      <c r="E276" s="100">
        <v>20</v>
      </c>
      <c r="F276" s="100" t="s">
        <v>751</v>
      </c>
      <c r="G276" s="101">
        <v>14</v>
      </c>
      <c r="H276" s="101">
        <v>28000</v>
      </c>
      <c r="I276" s="100" t="s">
        <v>796</v>
      </c>
      <c r="J276" s="101">
        <v>0</v>
      </c>
      <c r="K276" s="101">
        <v>0</v>
      </c>
      <c r="L276" s="100" t="s">
        <v>465</v>
      </c>
      <c r="M276" s="100">
        <v>27986.6</v>
      </c>
      <c r="N276" s="121">
        <v>0.34129999999999999</v>
      </c>
    </row>
    <row r="277" spans="3:14" x14ac:dyDescent="0.25">
      <c r="C277" s="99">
        <v>160</v>
      </c>
      <c r="D277" s="100" t="s">
        <v>731</v>
      </c>
      <c r="E277" s="100">
        <v>23</v>
      </c>
      <c r="F277" s="100" t="s">
        <v>748</v>
      </c>
      <c r="G277" s="101">
        <v>12.1</v>
      </c>
      <c r="H277" s="101">
        <v>27830</v>
      </c>
      <c r="I277" s="100" t="s">
        <v>796</v>
      </c>
      <c r="J277" s="101">
        <v>0</v>
      </c>
      <c r="K277" s="101">
        <v>0</v>
      </c>
      <c r="L277" s="100" t="s">
        <v>465</v>
      </c>
      <c r="M277" s="100">
        <v>27814.59</v>
      </c>
      <c r="N277" s="121">
        <v>0.29930000000000001</v>
      </c>
    </row>
    <row r="278" spans="3:14" x14ac:dyDescent="0.25">
      <c r="C278" s="99">
        <v>161</v>
      </c>
      <c r="D278" s="100" t="s">
        <v>731</v>
      </c>
      <c r="E278" s="100">
        <v>28</v>
      </c>
      <c r="F278" s="100" t="s">
        <v>750</v>
      </c>
      <c r="G278" s="101">
        <v>10.1</v>
      </c>
      <c r="H278" s="101">
        <v>28280</v>
      </c>
      <c r="I278" s="100" t="s">
        <v>796</v>
      </c>
      <c r="J278" s="101">
        <v>0</v>
      </c>
      <c r="K278" s="101">
        <v>0</v>
      </c>
      <c r="L278" s="100" t="s">
        <v>465</v>
      </c>
      <c r="M278" s="100">
        <v>28261.24</v>
      </c>
      <c r="N278" s="121">
        <v>0.253</v>
      </c>
    </row>
    <row r="279" spans="3:14" x14ac:dyDescent="0.25">
      <c r="C279" s="99">
        <v>162</v>
      </c>
      <c r="D279" s="100" t="s">
        <v>731</v>
      </c>
      <c r="E279" s="100">
        <v>15</v>
      </c>
      <c r="F279" s="100" t="s">
        <v>764</v>
      </c>
      <c r="G279" s="101">
        <v>17</v>
      </c>
      <c r="H279" s="101">
        <v>25500</v>
      </c>
      <c r="I279" s="100" t="s">
        <v>796</v>
      </c>
      <c r="J279" s="101">
        <v>0</v>
      </c>
      <c r="K279" s="101">
        <v>0</v>
      </c>
      <c r="L279" s="100" t="s">
        <v>465</v>
      </c>
      <c r="M279" s="100">
        <v>25489.95</v>
      </c>
      <c r="N279" s="121">
        <v>0.35399999999999998</v>
      </c>
    </row>
    <row r="280" spans="3:14" x14ac:dyDescent="0.25">
      <c r="C280" s="99">
        <v>163</v>
      </c>
      <c r="D280" s="100" t="s">
        <v>788</v>
      </c>
      <c r="E280" s="100">
        <v>31</v>
      </c>
      <c r="F280" s="100" t="s">
        <v>819</v>
      </c>
      <c r="G280" s="101">
        <v>9</v>
      </c>
      <c r="H280" s="101">
        <v>27900</v>
      </c>
      <c r="I280" s="100" t="s">
        <v>820</v>
      </c>
      <c r="J280" s="101">
        <v>0</v>
      </c>
      <c r="K280" s="101">
        <v>0</v>
      </c>
      <c r="L280" s="100" t="s">
        <v>465</v>
      </c>
      <c r="M280" s="100">
        <v>27879.23</v>
      </c>
      <c r="N280" s="121">
        <v>0.44969999999999999</v>
      </c>
    </row>
    <row r="281" spans="3:14" x14ac:dyDescent="0.25">
      <c r="C281" s="99">
        <v>164</v>
      </c>
      <c r="D281" s="100" t="s">
        <v>788</v>
      </c>
      <c r="E281" s="100">
        <v>60</v>
      </c>
      <c r="F281" s="100" t="s">
        <v>723</v>
      </c>
      <c r="G281" s="101">
        <v>4.9000000000000004</v>
      </c>
      <c r="H281" s="101">
        <v>29400</v>
      </c>
      <c r="I281" s="100" t="s">
        <v>820</v>
      </c>
      <c r="J281" s="101">
        <v>0</v>
      </c>
      <c r="K281" s="101">
        <v>0</v>
      </c>
      <c r="L281" s="100" t="s">
        <v>465</v>
      </c>
      <c r="M281" s="100">
        <v>29359.8</v>
      </c>
      <c r="N281" s="121">
        <v>0.25619999999999998</v>
      </c>
    </row>
    <row r="282" spans="3:14" x14ac:dyDescent="0.25">
      <c r="C282" s="99">
        <v>165</v>
      </c>
      <c r="D282" s="100" t="s">
        <v>788</v>
      </c>
      <c r="E282" s="100">
        <v>40</v>
      </c>
      <c r="F282" s="100" t="s">
        <v>725</v>
      </c>
      <c r="G282" s="101">
        <v>6.7</v>
      </c>
      <c r="H282" s="101">
        <v>26800</v>
      </c>
      <c r="I282" s="100" t="s">
        <v>820</v>
      </c>
      <c r="J282" s="101">
        <v>0</v>
      </c>
      <c r="K282" s="101">
        <v>0</v>
      </c>
      <c r="L282" s="100" t="s">
        <v>465</v>
      </c>
      <c r="M282" s="100">
        <v>26773.200000000001</v>
      </c>
      <c r="N282" s="121">
        <v>0.31419999999999998</v>
      </c>
    </row>
    <row r="283" spans="3:14" x14ac:dyDescent="0.25">
      <c r="C283" s="99">
        <v>166</v>
      </c>
      <c r="D283" s="100" t="s">
        <v>788</v>
      </c>
      <c r="E283" s="100">
        <v>35</v>
      </c>
      <c r="F283" s="100" t="s">
        <v>821</v>
      </c>
      <c r="G283" s="101">
        <v>7.1</v>
      </c>
      <c r="H283" s="101">
        <v>24850</v>
      </c>
      <c r="I283" s="100" t="s">
        <v>820</v>
      </c>
      <c r="J283" s="101">
        <v>0</v>
      </c>
      <c r="K283" s="101">
        <v>0</v>
      </c>
      <c r="L283" s="100" t="s">
        <v>465</v>
      </c>
      <c r="M283" s="100">
        <v>24826.55</v>
      </c>
      <c r="N283" s="121">
        <v>0.35639999999999999</v>
      </c>
    </row>
    <row r="284" spans="3:14" x14ac:dyDescent="0.25">
      <c r="C284" s="99">
        <v>167</v>
      </c>
      <c r="D284" s="100" t="s">
        <v>788</v>
      </c>
      <c r="E284" s="100">
        <v>45</v>
      </c>
      <c r="F284" s="100" t="s">
        <v>1380</v>
      </c>
      <c r="G284" s="101">
        <v>5.7</v>
      </c>
      <c r="H284" s="101">
        <v>25650</v>
      </c>
      <c r="I284" s="100" t="s">
        <v>820</v>
      </c>
      <c r="J284" s="101">
        <v>0</v>
      </c>
      <c r="K284" s="101">
        <v>0</v>
      </c>
      <c r="L284" s="100" t="s">
        <v>465</v>
      </c>
      <c r="M284" s="100">
        <v>25619.85</v>
      </c>
      <c r="N284" s="121">
        <v>0.28050000000000003</v>
      </c>
    </row>
    <row r="285" spans="3:14" x14ac:dyDescent="0.25">
      <c r="C285" s="99">
        <v>168</v>
      </c>
      <c r="D285" s="100" t="s">
        <v>589</v>
      </c>
      <c r="E285" s="100">
        <v>16</v>
      </c>
      <c r="F285" s="100" t="s">
        <v>1381</v>
      </c>
      <c r="G285" s="101">
        <v>17.350000000000001</v>
      </c>
      <c r="H285" s="101">
        <v>27760</v>
      </c>
      <c r="I285" s="100" t="s">
        <v>820</v>
      </c>
      <c r="J285" s="101">
        <v>0</v>
      </c>
      <c r="K285" s="101">
        <v>0</v>
      </c>
      <c r="L285" s="100" t="s">
        <v>465</v>
      </c>
      <c r="M285" s="100">
        <v>27749.279999999999</v>
      </c>
      <c r="N285" s="121">
        <v>0.11749999999999999</v>
      </c>
    </row>
    <row r="286" spans="3:14" x14ac:dyDescent="0.25">
      <c r="C286" s="99">
        <v>169</v>
      </c>
      <c r="D286" s="100" t="s">
        <v>589</v>
      </c>
      <c r="E286" s="100">
        <v>17</v>
      </c>
      <c r="F286" s="100" t="s">
        <v>754</v>
      </c>
      <c r="G286" s="101">
        <v>16.399999999999999</v>
      </c>
      <c r="H286" s="101">
        <v>27880</v>
      </c>
      <c r="I286" s="100" t="s">
        <v>820</v>
      </c>
      <c r="J286" s="101">
        <v>0</v>
      </c>
      <c r="K286" s="101">
        <v>0</v>
      </c>
      <c r="L286" s="100" t="s">
        <v>465</v>
      </c>
      <c r="M286" s="100">
        <v>27868.61</v>
      </c>
      <c r="N286" s="121">
        <v>0.1142</v>
      </c>
    </row>
    <row r="287" spans="3:14" x14ac:dyDescent="0.25">
      <c r="C287" s="99">
        <v>170</v>
      </c>
      <c r="D287" s="100" t="s">
        <v>589</v>
      </c>
      <c r="E287" s="100">
        <v>18</v>
      </c>
      <c r="F287" s="100" t="s">
        <v>1382</v>
      </c>
      <c r="G287" s="101">
        <v>15.5</v>
      </c>
      <c r="H287" s="101">
        <v>27900</v>
      </c>
      <c r="I287" s="100" t="s">
        <v>820</v>
      </c>
      <c r="J287" s="101">
        <v>0</v>
      </c>
      <c r="K287" s="101">
        <v>0</v>
      </c>
      <c r="L287" s="100" t="s">
        <v>465</v>
      </c>
      <c r="M287" s="100">
        <v>27887.94</v>
      </c>
      <c r="N287" s="121">
        <v>0.1111</v>
      </c>
    </row>
    <row r="288" spans="3:14" x14ac:dyDescent="0.25">
      <c r="C288" s="99">
        <v>171</v>
      </c>
      <c r="D288" s="100" t="s">
        <v>773</v>
      </c>
      <c r="E288" s="100">
        <v>16</v>
      </c>
      <c r="F288" s="100" t="s">
        <v>745</v>
      </c>
      <c r="G288" s="101">
        <v>16.7</v>
      </c>
      <c r="H288" s="101">
        <v>26720</v>
      </c>
      <c r="I288" s="100" t="s">
        <v>1385</v>
      </c>
      <c r="J288" s="101">
        <v>0</v>
      </c>
      <c r="K288" s="101">
        <v>0</v>
      </c>
      <c r="L288" s="100" t="s">
        <v>465</v>
      </c>
      <c r="M288" s="100">
        <v>26709.279999999999</v>
      </c>
      <c r="N288" s="121">
        <v>9.3600000000000003E-2</v>
      </c>
    </row>
    <row r="289" spans="3:14" x14ac:dyDescent="0.25">
      <c r="C289" s="99">
        <v>172</v>
      </c>
      <c r="D289" s="100" t="s">
        <v>773</v>
      </c>
      <c r="E289" s="100">
        <v>16</v>
      </c>
      <c r="F289" s="100" t="s">
        <v>775</v>
      </c>
      <c r="G289" s="101">
        <v>16.5</v>
      </c>
      <c r="H289" s="101">
        <v>26400</v>
      </c>
      <c r="I289" s="100" t="s">
        <v>1385</v>
      </c>
      <c r="J289" s="101">
        <v>0</v>
      </c>
      <c r="K289" s="101">
        <v>0</v>
      </c>
      <c r="L289" s="100" t="s">
        <v>465</v>
      </c>
      <c r="M289" s="100">
        <v>26389.279999999999</v>
      </c>
      <c r="N289" s="121">
        <v>9.5100000000000004E-2</v>
      </c>
    </row>
    <row r="290" spans="3:14" x14ac:dyDescent="0.25">
      <c r="C290" s="99">
        <v>173</v>
      </c>
      <c r="D290" s="100" t="s">
        <v>773</v>
      </c>
      <c r="E290" s="100">
        <v>15</v>
      </c>
      <c r="F290" s="100" t="s">
        <v>779</v>
      </c>
      <c r="G290" s="101">
        <v>17.7</v>
      </c>
      <c r="H290" s="101">
        <v>26550</v>
      </c>
      <c r="I290" s="100" t="s">
        <v>1385</v>
      </c>
      <c r="J290" s="101">
        <v>0</v>
      </c>
      <c r="K290" s="101">
        <v>0</v>
      </c>
      <c r="L290" s="100" t="s">
        <v>465</v>
      </c>
      <c r="M290" s="100">
        <v>26539.95</v>
      </c>
      <c r="N290" s="121">
        <v>9.7100000000000006E-2</v>
      </c>
    </row>
    <row r="291" spans="3:14" x14ac:dyDescent="0.25">
      <c r="C291" s="99">
        <v>174</v>
      </c>
      <c r="D291" s="100" t="s">
        <v>703</v>
      </c>
      <c r="E291" s="100">
        <v>30</v>
      </c>
      <c r="F291" s="100" t="s">
        <v>744</v>
      </c>
      <c r="G291" s="101">
        <v>9.6999999999999993</v>
      </c>
      <c r="H291" s="101">
        <v>29100</v>
      </c>
      <c r="I291" s="100" t="s">
        <v>862</v>
      </c>
      <c r="J291" s="101">
        <v>0</v>
      </c>
      <c r="K291" s="101">
        <v>0</v>
      </c>
      <c r="L291" s="100" t="s">
        <v>465</v>
      </c>
      <c r="M291" s="100">
        <v>29079.9</v>
      </c>
      <c r="N291" s="121">
        <v>0.50219999999999998</v>
      </c>
    </row>
    <row r="292" spans="3:14" x14ac:dyDescent="0.25">
      <c r="C292" s="99">
        <v>175</v>
      </c>
      <c r="D292" s="100" t="s">
        <v>703</v>
      </c>
      <c r="E292" s="100">
        <v>32</v>
      </c>
      <c r="F292" s="100" t="s">
        <v>746</v>
      </c>
      <c r="G292" s="101">
        <v>8.6999999999999993</v>
      </c>
      <c r="H292" s="101">
        <v>27840</v>
      </c>
      <c r="I292" s="100" t="s">
        <v>862</v>
      </c>
      <c r="J292" s="101">
        <v>0</v>
      </c>
      <c r="K292" s="101">
        <v>0</v>
      </c>
      <c r="L292" s="100" t="s">
        <v>465</v>
      </c>
      <c r="M292" s="100">
        <v>27818.560000000001</v>
      </c>
      <c r="N292" s="121">
        <v>0.45040000000000002</v>
      </c>
    </row>
    <row r="293" spans="3:14" x14ac:dyDescent="0.25">
      <c r="C293" s="99">
        <v>176</v>
      </c>
      <c r="D293" s="100" t="s">
        <v>703</v>
      </c>
      <c r="E293" s="100">
        <v>33</v>
      </c>
      <c r="F293" s="100" t="s">
        <v>747</v>
      </c>
      <c r="G293" s="101">
        <v>8.1</v>
      </c>
      <c r="H293" s="101">
        <v>26730</v>
      </c>
      <c r="I293" s="100" t="s">
        <v>862</v>
      </c>
      <c r="J293" s="101">
        <v>0</v>
      </c>
      <c r="K293" s="101">
        <v>0</v>
      </c>
      <c r="L293" s="100" t="s">
        <v>465</v>
      </c>
      <c r="M293" s="100">
        <v>26707.89</v>
      </c>
      <c r="N293" s="121">
        <v>0.42820000000000003</v>
      </c>
    </row>
    <row r="294" spans="3:14" x14ac:dyDescent="0.25">
      <c r="C294" s="99">
        <v>177</v>
      </c>
      <c r="D294" s="100" t="s">
        <v>703</v>
      </c>
      <c r="E294" s="100">
        <v>24</v>
      </c>
      <c r="F294" s="100" t="s">
        <v>734</v>
      </c>
      <c r="G294" s="101">
        <v>10.6</v>
      </c>
      <c r="H294" s="101">
        <v>25440</v>
      </c>
      <c r="I294" s="100" t="s">
        <v>862</v>
      </c>
      <c r="J294" s="101">
        <v>0</v>
      </c>
      <c r="K294" s="101">
        <v>0</v>
      </c>
      <c r="L294" s="100" t="s">
        <v>465</v>
      </c>
      <c r="M294" s="100">
        <v>25423.919999999998</v>
      </c>
      <c r="N294" s="121">
        <v>0.54600000000000004</v>
      </c>
    </row>
    <row r="295" spans="3:14" x14ac:dyDescent="0.25">
      <c r="C295" s="99">
        <v>178</v>
      </c>
      <c r="D295" s="100" t="s">
        <v>703</v>
      </c>
      <c r="E295" s="100">
        <v>36</v>
      </c>
      <c r="F295" s="100" t="s">
        <v>762</v>
      </c>
      <c r="G295" s="101">
        <v>7.4</v>
      </c>
      <c r="H295" s="101">
        <v>26640</v>
      </c>
      <c r="I295" s="100" t="s">
        <v>862</v>
      </c>
      <c r="J295" s="101">
        <v>0</v>
      </c>
      <c r="K295" s="101">
        <v>0</v>
      </c>
      <c r="L295" s="100" t="s">
        <v>465</v>
      </c>
      <c r="M295" s="100">
        <v>26615.88</v>
      </c>
      <c r="N295" s="121">
        <v>0.39750000000000002</v>
      </c>
    </row>
    <row r="296" spans="3:14" x14ac:dyDescent="0.25">
      <c r="C296" s="99">
        <v>179</v>
      </c>
      <c r="D296" s="100" t="s">
        <v>781</v>
      </c>
      <c r="E296" s="100">
        <v>69</v>
      </c>
      <c r="F296" s="100" t="s">
        <v>783</v>
      </c>
      <c r="G296" s="101">
        <v>3.75</v>
      </c>
      <c r="H296" s="101">
        <v>25875</v>
      </c>
      <c r="I296" s="100" t="s">
        <v>862</v>
      </c>
      <c r="J296" s="101">
        <v>0</v>
      </c>
      <c r="K296" s="101">
        <v>0</v>
      </c>
      <c r="L296" s="100" t="s">
        <v>465</v>
      </c>
      <c r="M296" s="100">
        <v>25828.77</v>
      </c>
      <c r="N296" s="121">
        <v>9.7900000000000001E-2</v>
      </c>
    </row>
    <row r="297" spans="3:14" x14ac:dyDescent="0.25">
      <c r="C297" s="99">
        <v>180</v>
      </c>
      <c r="D297" s="100" t="s">
        <v>781</v>
      </c>
      <c r="E297" s="100">
        <v>64</v>
      </c>
      <c r="F297" s="100" t="s">
        <v>782</v>
      </c>
      <c r="G297" s="101">
        <v>3.8</v>
      </c>
      <c r="H297" s="101">
        <v>24320</v>
      </c>
      <c r="I297" s="100" t="s">
        <v>862</v>
      </c>
      <c r="J297" s="101">
        <v>0</v>
      </c>
      <c r="K297" s="101">
        <v>0</v>
      </c>
      <c r="L297" s="100" t="s">
        <v>465</v>
      </c>
      <c r="M297" s="100">
        <v>24277.119999999999</v>
      </c>
      <c r="N297" s="121">
        <v>0.1048</v>
      </c>
    </row>
    <row r="298" spans="3:14" x14ac:dyDescent="0.25">
      <c r="C298" s="99">
        <v>181</v>
      </c>
      <c r="D298" s="100" t="s">
        <v>860</v>
      </c>
      <c r="E298" s="100">
        <v>23</v>
      </c>
      <c r="F298" s="100" t="s">
        <v>1391</v>
      </c>
      <c r="G298" s="101">
        <v>12.9</v>
      </c>
      <c r="H298" s="101">
        <v>29670</v>
      </c>
      <c r="I298" s="100" t="s">
        <v>862</v>
      </c>
      <c r="J298" s="101">
        <v>0</v>
      </c>
      <c r="K298" s="101">
        <v>0</v>
      </c>
      <c r="L298" s="100" t="s">
        <v>465</v>
      </c>
      <c r="M298" s="100">
        <v>29654.59</v>
      </c>
      <c r="N298" s="121">
        <v>0.4017</v>
      </c>
    </row>
    <row r="299" spans="3:14" x14ac:dyDescent="0.25">
      <c r="C299" s="99">
        <v>182</v>
      </c>
      <c r="D299" s="100" t="s">
        <v>731</v>
      </c>
      <c r="E299" s="100">
        <v>25</v>
      </c>
      <c r="F299" s="100" t="s">
        <v>798</v>
      </c>
      <c r="G299" s="101">
        <v>11.2</v>
      </c>
      <c r="H299" s="101">
        <v>28000</v>
      </c>
      <c r="I299" s="100" t="s">
        <v>862</v>
      </c>
      <c r="J299" s="101">
        <v>0</v>
      </c>
      <c r="K299" s="101">
        <v>0</v>
      </c>
      <c r="L299" s="100" t="s">
        <v>465</v>
      </c>
      <c r="M299" s="100">
        <v>27983.25</v>
      </c>
      <c r="N299" s="121">
        <v>0.25559999999999999</v>
      </c>
    </row>
    <row r="300" spans="3:14" x14ac:dyDescent="0.25">
      <c r="C300" s="99">
        <v>183</v>
      </c>
      <c r="D300" s="100" t="s">
        <v>635</v>
      </c>
      <c r="E300" s="100">
        <v>10</v>
      </c>
      <c r="F300" s="100" t="s">
        <v>787</v>
      </c>
      <c r="G300" s="101">
        <v>26.7</v>
      </c>
      <c r="H300" s="101">
        <v>26700</v>
      </c>
      <c r="I300" s="100" t="s">
        <v>862</v>
      </c>
      <c r="J300" s="101">
        <v>0</v>
      </c>
      <c r="K300" s="101">
        <v>0</v>
      </c>
      <c r="L300" s="100" t="s">
        <v>465</v>
      </c>
      <c r="M300" s="100">
        <v>26693.3</v>
      </c>
      <c r="N300" s="121">
        <v>0.2465</v>
      </c>
    </row>
    <row r="301" spans="3:14" x14ac:dyDescent="0.25">
      <c r="C301" s="99">
        <v>184</v>
      </c>
      <c r="D301" s="100" t="s">
        <v>635</v>
      </c>
      <c r="E301" s="100">
        <v>13</v>
      </c>
      <c r="F301" s="100" t="s">
        <v>1392</v>
      </c>
      <c r="G301" s="101">
        <v>21.5</v>
      </c>
      <c r="H301" s="101">
        <v>27950</v>
      </c>
      <c r="I301" s="100" t="s">
        <v>862</v>
      </c>
      <c r="J301" s="101">
        <v>0</v>
      </c>
      <c r="K301" s="101">
        <v>0</v>
      </c>
      <c r="L301" s="100" t="s">
        <v>465</v>
      </c>
      <c r="M301" s="100">
        <v>27941.29</v>
      </c>
      <c r="N301" s="121">
        <v>0.1981</v>
      </c>
    </row>
    <row r="302" spans="3:14" x14ac:dyDescent="0.25">
      <c r="C302" s="99">
        <v>185</v>
      </c>
      <c r="D302" s="100" t="s">
        <v>860</v>
      </c>
      <c r="E302" s="100">
        <v>43</v>
      </c>
      <c r="F302" s="100" t="s">
        <v>1393</v>
      </c>
      <c r="G302" s="101">
        <v>6.8</v>
      </c>
      <c r="H302" s="101">
        <v>29240</v>
      </c>
      <c r="I302" s="100" t="s">
        <v>862</v>
      </c>
      <c r="J302" s="101">
        <v>0</v>
      </c>
      <c r="K302" s="101">
        <v>0</v>
      </c>
      <c r="L302" s="100" t="s">
        <v>465</v>
      </c>
      <c r="M302" s="100">
        <v>29211.19</v>
      </c>
      <c r="N302" s="121">
        <v>0.2046</v>
      </c>
    </row>
    <row r="303" spans="3:14" x14ac:dyDescent="0.25">
      <c r="C303" s="99">
        <v>186</v>
      </c>
      <c r="D303" s="100" t="s">
        <v>635</v>
      </c>
      <c r="E303" s="100">
        <v>14</v>
      </c>
      <c r="F303" s="100" t="s">
        <v>1394</v>
      </c>
      <c r="G303" s="101">
        <v>21</v>
      </c>
      <c r="H303" s="101">
        <v>29400</v>
      </c>
      <c r="I303" s="100" t="s">
        <v>862</v>
      </c>
      <c r="J303" s="101">
        <v>0</v>
      </c>
      <c r="K303" s="101">
        <v>0</v>
      </c>
      <c r="L303" s="100" t="s">
        <v>465</v>
      </c>
      <c r="M303" s="100">
        <v>29390.62</v>
      </c>
      <c r="N303" s="121">
        <v>0.2019</v>
      </c>
    </row>
    <row r="304" spans="3:14" x14ac:dyDescent="0.25">
      <c r="C304" s="99">
        <v>187</v>
      </c>
      <c r="D304" s="100" t="s">
        <v>635</v>
      </c>
      <c r="E304" s="100">
        <v>18</v>
      </c>
      <c r="F304" s="100" t="s">
        <v>1395</v>
      </c>
      <c r="G304" s="101">
        <v>16.600000000000001</v>
      </c>
      <c r="H304" s="101">
        <v>29880</v>
      </c>
      <c r="I304" s="100" t="s">
        <v>862</v>
      </c>
      <c r="J304" s="101">
        <v>0</v>
      </c>
      <c r="K304" s="101">
        <v>0</v>
      </c>
      <c r="L304" s="100" t="s">
        <v>465</v>
      </c>
      <c r="M304" s="100">
        <v>29867.94</v>
      </c>
      <c r="N304" s="121">
        <v>0.1605</v>
      </c>
    </row>
    <row r="305" spans="3:14" x14ac:dyDescent="0.25">
      <c r="C305" s="99">
        <v>188</v>
      </c>
      <c r="D305" s="100" t="s">
        <v>1396</v>
      </c>
      <c r="E305" s="100">
        <v>17</v>
      </c>
      <c r="F305" s="100" t="s">
        <v>870</v>
      </c>
      <c r="G305" s="101">
        <v>17.350000000000001</v>
      </c>
      <c r="H305" s="101">
        <v>29495</v>
      </c>
      <c r="I305" s="100" t="s">
        <v>862</v>
      </c>
      <c r="J305" s="101">
        <v>0</v>
      </c>
      <c r="K305" s="101">
        <v>0</v>
      </c>
      <c r="L305" s="100" t="s">
        <v>465</v>
      </c>
      <c r="M305" s="100">
        <v>29483.61</v>
      </c>
      <c r="N305" s="121">
        <v>1.7971999999999999</v>
      </c>
    </row>
    <row r="306" spans="3:14" x14ac:dyDescent="0.25">
      <c r="C306" s="99">
        <v>189</v>
      </c>
      <c r="D306" s="100" t="s">
        <v>1396</v>
      </c>
      <c r="E306" s="100">
        <v>20</v>
      </c>
      <c r="F306" s="100" t="s">
        <v>803</v>
      </c>
      <c r="G306" s="101">
        <v>15.25</v>
      </c>
      <c r="H306" s="101">
        <v>30500</v>
      </c>
      <c r="I306" s="100" t="s">
        <v>862</v>
      </c>
      <c r="J306" s="101">
        <v>0</v>
      </c>
      <c r="K306" s="101">
        <v>0</v>
      </c>
      <c r="L306" s="100" t="s">
        <v>465</v>
      </c>
      <c r="M306" s="100">
        <v>30486.6</v>
      </c>
      <c r="N306" s="121">
        <v>1.5633999999999999</v>
      </c>
    </row>
    <row r="307" spans="3:14" x14ac:dyDescent="0.25">
      <c r="C307" s="99">
        <v>190</v>
      </c>
      <c r="D307" s="100" t="s">
        <v>1396</v>
      </c>
      <c r="E307" s="100">
        <v>31</v>
      </c>
      <c r="F307" s="100" t="s">
        <v>1266</v>
      </c>
      <c r="G307" s="101">
        <v>10.050000000000001</v>
      </c>
      <c r="H307" s="101">
        <v>31155</v>
      </c>
      <c r="I307" s="100" t="s">
        <v>862</v>
      </c>
      <c r="J307" s="101">
        <v>0</v>
      </c>
      <c r="K307" s="101">
        <v>0</v>
      </c>
      <c r="L307" s="100" t="s">
        <v>465</v>
      </c>
      <c r="M307" s="100">
        <v>31134.23</v>
      </c>
      <c r="N307" s="121">
        <v>1.0094000000000001</v>
      </c>
    </row>
    <row r="308" spans="3:14" x14ac:dyDescent="0.25">
      <c r="C308" s="99">
        <v>191</v>
      </c>
      <c r="D308" s="100" t="s">
        <v>1396</v>
      </c>
      <c r="E308" s="100">
        <v>44</v>
      </c>
      <c r="F308" s="100" t="s">
        <v>807</v>
      </c>
      <c r="G308" s="101">
        <v>7.05</v>
      </c>
      <c r="H308" s="101">
        <v>31020</v>
      </c>
      <c r="I308" s="100" t="s">
        <v>862</v>
      </c>
      <c r="J308" s="101">
        <v>0</v>
      </c>
      <c r="K308" s="101">
        <v>0</v>
      </c>
      <c r="L308" s="100" t="s">
        <v>465</v>
      </c>
      <c r="M308" s="100">
        <v>30990.52</v>
      </c>
      <c r="N308" s="121">
        <v>0.70789999999999997</v>
      </c>
    </row>
    <row r="309" spans="3:14" x14ac:dyDescent="0.25">
      <c r="C309" s="99">
        <v>192</v>
      </c>
      <c r="D309" s="100" t="s">
        <v>1396</v>
      </c>
      <c r="E309" s="100">
        <v>62</v>
      </c>
      <c r="F309" s="100" t="s">
        <v>1267</v>
      </c>
      <c r="G309" s="101">
        <v>5.05</v>
      </c>
      <c r="H309" s="101">
        <v>31310</v>
      </c>
      <c r="I309" s="100" t="s">
        <v>862</v>
      </c>
      <c r="J309" s="101">
        <v>0</v>
      </c>
      <c r="K309" s="101">
        <v>0</v>
      </c>
      <c r="L309" s="100" t="s">
        <v>465</v>
      </c>
      <c r="M309" s="100">
        <v>31268.46</v>
      </c>
      <c r="N309" s="121">
        <v>0.50690000000000002</v>
      </c>
    </row>
    <row r="310" spans="3:14" x14ac:dyDescent="0.25">
      <c r="C310" s="99">
        <v>193</v>
      </c>
      <c r="D310" s="100" t="s">
        <v>766</v>
      </c>
      <c r="E310" s="100">
        <v>61</v>
      </c>
      <c r="F310" s="100" t="s">
        <v>767</v>
      </c>
      <c r="G310" s="101">
        <v>3.95</v>
      </c>
      <c r="H310" s="101">
        <v>24095</v>
      </c>
      <c r="I310" s="100" t="s">
        <v>898</v>
      </c>
      <c r="J310" s="101">
        <v>0</v>
      </c>
      <c r="K310" s="101">
        <v>0</v>
      </c>
      <c r="L310" s="100" t="s">
        <v>465</v>
      </c>
      <c r="M310" s="100">
        <v>24054.13</v>
      </c>
      <c r="N310" s="121">
        <v>0.1023</v>
      </c>
    </row>
    <row r="311" spans="3:14" x14ac:dyDescent="0.25">
      <c r="C311" s="99">
        <v>194</v>
      </c>
      <c r="D311" s="100" t="s">
        <v>785</v>
      </c>
      <c r="E311" s="100">
        <v>34</v>
      </c>
      <c r="F311" s="100" t="s">
        <v>786</v>
      </c>
      <c r="G311" s="101">
        <v>6.85</v>
      </c>
      <c r="H311" s="101">
        <v>23290</v>
      </c>
      <c r="I311" s="100" t="s">
        <v>1399</v>
      </c>
      <c r="J311" s="101">
        <v>0</v>
      </c>
      <c r="K311" s="101">
        <v>0</v>
      </c>
      <c r="L311" s="100" t="s">
        <v>465</v>
      </c>
      <c r="M311" s="100">
        <v>23267.22</v>
      </c>
      <c r="N311" s="121">
        <v>9.3600000000000003E-2</v>
      </c>
    </row>
    <row r="312" spans="3:14" x14ac:dyDescent="0.25">
      <c r="C312" s="99">
        <v>195</v>
      </c>
      <c r="D312" s="100" t="s">
        <v>814</v>
      </c>
      <c r="E312" s="100">
        <v>61</v>
      </c>
      <c r="F312" s="100" t="s">
        <v>837</v>
      </c>
      <c r="G312" s="101">
        <v>4.7</v>
      </c>
      <c r="H312" s="101">
        <v>28670</v>
      </c>
      <c r="I312" s="100" t="s">
        <v>883</v>
      </c>
      <c r="J312" s="101">
        <v>0</v>
      </c>
      <c r="K312" s="101">
        <v>0</v>
      </c>
      <c r="L312" s="100" t="s">
        <v>465</v>
      </c>
      <c r="M312" s="100">
        <v>28629.13</v>
      </c>
      <c r="N312" s="121">
        <v>9.3299999999999994E-2</v>
      </c>
    </row>
    <row r="313" spans="3:14" x14ac:dyDescent="0.25">
      <c r="C313" s="99">
        <v>196</v>
      </c>
      <c r="D313" s="100" t="s">
        <v>814</v>
      </c>
      <c r="E313" s="100">
        <v>59</v>
      </c>
      <c r="F313" s="100" t="s">
        <v>815</v>
      </c>
      <c r="G313" s="101">
        <v>4.8</v>
      </c>
      <c r="H313" s="101">
        <v>28320</v>
      </c>
      <c r="I313" s="100" t="s">
        <v>883</v>
      </c>
      <c r="J313" s="101">
        <v>0</v>
      </c>
      <c r="K313" s="101">
        <v>0</v>
      </c>
      <c r="L313" s="100" t="s">
        <v>465</v>
      </c>
      <c r="M313" s="100">
        <v>28280.47</v>
      </c>
      <c r="N313" s="121">
        <v>0.106</v>
      </c>
    </row>
    <row r="314" spans="3:14" x14ac:dyDescent="0.25">
      <c r="C314" s="99">
        <v>197</v>
      </c>
      <c r="D314" s="100" t="s">
        <v>814</v>
      </c>
      <c r="E314" s="100">
        <v>51</v>
      </c>
      <c r="F314" s="100" t="s">
        <v>793</v>
      </c>
      <c r="G314" s="101">
        <v>6.2</v>
      </c>
      <c r="H314" s="101">
        <v>31620</v>
      </c>
      <c r="I314" s="100" t="s">
        <v>921</v>
      </c>
      <c r="J314" s="101">
        <v>0</v>
      </c>
      <c r="K314" s="101">
        <v>0</v>
      </c>
      <c r="L314" s="100" t="s">
        <v>465</v>
      </c>
      <c r="M314" s="100">
        <v>31585.83</v>
      </c>
      <c r="N314" s="121">
        <v>0.12690000000000001</v>
      </c>
    </row>
    <row r="315" spans="3:14" x14ac:dyDescent="0.25">
      <c r="C315" s="99">
        <v>198</v>
      </c>
      <c r="D315" s="100" t="s">
        <v>814</v>
      </c>
      <c r="E315" s="100">
        <v>57</v>
      </c>
      <c r="F315" s="100" t="s">
        <v>822</v>
      </c>
      <c r="G315" s="101">
        <v>5.0999999999999996</v>
      </c>
      <c r="H315" s="101">
        <v>29070</v>
      </c>
      <c r="I315" s="100" t="s">
        <v>921</v>
      </c>
      <c r="J315" s="101">
        <v>0</v>
      </c>
      <c r="K315" s="101">
        <v>0</v>
      </c>
      <c r="L315" s="100" t="s">
        <v>465</v>
      </c>
      <c r="M315" s="100">
        <v>29031.81</v>
      </c>
      <c r="N315" s="121">
        <v>0.1134</v>
      </c>
    </row>
    <row r="316" spans="3:14" x14ac:dyDescent="0.25">
      <c r="C316" s="99">
        <v>199</v>
      </c>
      <c r="D316" s="100" t="s">
        <v>766</v>
      </c>
      <c r="E316" s="100">
        <v>60</v>
      </c>
      <c r="F316" s="100" t="s">
        <v>824</v>
      </c>
      <c r="G316" s="101">
        <v>4.9000000000000004</v>
      </c>
      <c r="H316" s="101">
        <v>29400</v>
      </c>
      <c r="I316" s="100" t="s">
        <v>921</v>
      </c>
      <c r="J316" s="101">
        <v>0</v>
      </c>
      <c r="K316" s="101">
        <v>0</v>
      </c>
      <c r="L316" s="100" t="s">
        <v>465</v>
      </c>
      <c r="M316" s="100">
        <v>29359.8</v>
      </c>
      <c r="N316" s="121">
        <v>0.1085</v>
      </c>
    </row>
    <row r="317" spans="3:14" x14ac:dyDescent="0.25">
      <c r="C317" s="99">
        <v>200</v>
      </c>
      <c r="D317" s="100" t="s">
        <v>766</v>
      </c>
      <c r="E317" s="100">
        <v>59</v>
      </c>
      <c r="F317" s="100" t="s">
        <v>810</v>
      </c>
      <c r="G317" s="101">
        <v>5.05</v>
      </c>
      <c r="H317" s="101">
        <v>29795</v>
      </c>
      <c r="I317" s="100" t="s">
        <v>921</v>
      </c>
      <c r="J317" s="101">
        <v>0</v>
      </c>
      <c r="K317" s="101">
        <v>0</v>
      </c>
      <c r="L317" s="100" t="s">
        <v>465</v>
      </c>
      <c r="M317" s="100">
        <v>29755.47</v>
      </c>
      <c r="N317" s="121">
        <v>0.10630000000000001</v>
      </c>
    </row>
    <row r="318" spans="3:14" x14ac:dyDescent="0.25">
      <c r="C318" s="99">
        <v>201</v>
      </c>
      <c r="D318" s="100" t="s">
        <v>766</v>
      </c>
      <c r="E318" s="100">
        <v>52</v>
      </c>
      <c r="F318" s="100" t="s">
        <v>846</v>
      </c>
      <c r="G318" s="101">
        <v>5.25</v>
      </c>
      <c r="H318" s="101">
        <v>27300</v>
      </c>
      <c r="I318" s="100" t="s">
        <v>921</v>
      </c>
      <c r="J318" s="101">
        <v>0</v>
      </c>
      <c r="K318" s="101">
        <v>0</v>
      </c>
      <c r="L318" s="100" t="s">
        <v>465</v>
      </c>
      <c r="M318" s="100">
        <v>27265.16</v>
      </c>
      <c r="N318" s="121">
        <v>0.10539999999999999</v>
      </c>
    </row>
    <row r="319" spans="3:14" x14ac:dyDescent="0.25">
      <c r="C319" s="99">
        <v>202</v>
      </c>
      <c r="D319" s="100" t="s">
        <v>814</v>
      </c>
      <c r="E319" s="100">
        <v>47</v>
      </c>
      <c r="F319" s="100" t="s">
        <v>816</v>
      </c>
      <c r="G319" s="101">
        <v>5.7</v>
      </c>
      <c r="H319" s="101">
        <v>26790</v>
      </c>
      <c r="I319" s="100" t="s">
        <v>908</v>
      </c>
      <c r="J319" s="101">
        <v>0</v>
      </c>
      <c r="K319" s="101">
        <v>0</v>
      </c>
      <c r="L319" s="100" t="s">
        <v>465</v>
      </c>
      <c r="M319" s="100">
        <v>26758.51</v>
      </c>
      <c r="N319" s="121">
        <v>0.11550000000000001</v>
      </c>
    </row>
    <row r="320" spans="3:14" x14ac:dyDescent="0.25">
      <c r="C320" s="99">
        <v>203</v>
      </c>
      <c r="D320" s="100" t="s">
        <v>766</v>
      </c>
      <c r="E320" s="100">
        <v>60</v>
      </c>
      <c r="F320" s="100" t="s">
        <v>796</v>
      </c>
      <c r="G320" s="101">
        <v>5.35</v>
      </c>
      <c r="H320" s="101">
        <v>32100</v>
      </c>
      <c r="I320" s="100" t="s">
        <v>908</v>
      </c>
      <c r="J320" s="101">
        <v>0</v>
      </c>
      <c r="K320" s="101">
        <v>0</v>
      </c>
      <c r="L320" s="100" t="s">
        <v>465</v>
      </c>
      <c r="M320" s="100">
        <v>32059.8</v>
      </c>
      <c r="N320" s="121">
        <v>0.1133</v>
      </c>
    </row>
    <row r="321" spans="3:14" x14ac:dyDescent="0.25">
      <c r="C321" s="99">
        <v>204</v>
      </c>
      <c r="D321" s="100" t="s">
        <v>766</v>
      </c>
      <c r="E321" s="100">
        <v>65</v>
      </c>
      <c r="F321" s="100" t="s">
        <v>1402</v>
      </c>
      <c r="G321" s="101">
        <v>4.45</v>
      </c>
      <c r="H321" s="101">
        <v>28925</v>
      </c>
      <c r="I321" s="100" t="s">
        <v>908</v>
      </c>
      <c r="J321" s="101">
        <v>0</v>
      </c>
      <c r="K321" s="101">
        <v>0</v>
      </c>
      <c r="L321" s="100" t="s">
        <v>465</v>
      </c>
      <c r="M321" s="100">
        <v>28881.45</v>
      </c>
      <c r="N321" s="121">
        <v>9.7500000000000003E-2</v>
      </c>
    </row>
    <row r="322" spans="3:14" x14ac:dyDescent="0.25">
      <c r="C322" s="99">
        <v>205</v>
      </c>
      <c r="D322" s="100" t="s">
        <v>814</v>
      </c>
      <c r="E322" s="100">
        <v>60</v>
      </c>
      <c r="F322" s="100" t="s">
        <v>853</v>
      </c>
      <c r="G322" s="101">
        <v>4.5999999999999996</v>
      </c>
      <c r="H322" s="101">
        <v>27600</v>
      </c>
      <c r="I322" s="100" t="s">
        <v>908</v>
      </c>
      <c r="J322" s="101">
        <v>0</v>
      </c>
      <c r="K322" s="101">
        <v>0</v>
      </c>
      <c r="L322" s="100" t="s">
        <v>465</v>
      </c>
      <c r="M322" s="100">
        <v>27559.8</v>
      </c>
      <c r="N322" s="121">
        <v>0.1012</v>
      </c>
    </row>
    <row r="323" spans="3:14" x14ac:dyDescent="0.25">
      <c r="C323" s="99">
        <v>206</v>
      </c>
      <c r="D323" s="100" t="s">
        <v>766</v>
      </c>
      <c r="E323" s="100">
        <v>53</v>
      </c>
      <c r="F323" s="100" t="s">
        <v>802</v>
      </c>
      <c r="G323" s="101">
        <v>5.3</v>
      </c>
      <c r="H323" s="101">
        <v>28090</v>
      </c>
      <c r="I323" s="100" t="s">
        <v>908</v>
      </c>
      <c r="J323" s="101">
        <v>0</v>
      </c>
      <c r="K323" s="101">
        <v>0</v>
      </c>
      <c r="L323" s="100" t="s">
        <v>465</v>
      </c>
      <c r="M323" s="100">
        <v>28054.49</v>
      </c>
      <c r="N323" s="121">
        <v>0.1065</v>
      </c>
    </row>
    <row r="324" spans="3:14" x14ac:dyDescent="0.25">
      <c r="C324" s="99">
        <v>207</v>
      </c>
      <c r="D324" s="100" t="s">
        <v>814</v>
      </c>
      <c r="E324" s="100">
        <v>68</v>
      </c>
      <c r="F324" s="100" t="s">
        <v>806</v>
      </c>
      <c r="G324" s="101">
        <v>4.2</v>
      </c>
      <c r="H324" s="101">
        <v>28560</v>
      </c>
      <c r="I324" s="100" t="s">
        <v>908</v>
      </c>
      <c r="J324" s="101">
        <v>0</v>
      </c>
      <c r="K324" s="101">
        <v>0</v>
      </c>
      <c r="L324" s="100" t="s">
        <v>465</v>
      </c>
      <c r="M324" s="100">
        <v>28514.44</v>
      </c>
      <c r="N324" s="121">
        <v>0.1028</v>
      </c>
    </row>
    <row r="325" spans="3:14" x14ac:dyDescent="0.25">
      <c r="C325" s="99">
        <v>208</v>
      </c>
      <c r="D325" s="100" t="s">
        <v>1403</v>
      </c>
      <c r="E325" s="100">
        <v>36</v>
      </c>
      <c r="F325" s="100" t="s">
        <v>1265</v>
      </c>
      <c r="G325" s="101">
        <v>7.9</v>
      </c>
      <c r="H325" s="101">
        <v>28440</v>
      </c>
      <c r="I325" s="100" t="s">
        <v>908</v>
      </c>
      <c r="J325" s="101">
        <v>0</v>
      </c>
      <c r="K325" s="101">
        <v>0</v>
      </c>
      <c r="L325" s="100" t="s">
        <v>465</v>
      </c>
      <c r="M325" s="100">
        <v>28415.88</v>
      </c>
      <c r="N325" s="121">
        <v>0.1095</v>
      </c>
    </row>
    <row r="326" spans="3:14" x14ac:dyDescent="0.25">
      <c r="C326" s="99">
        <v>209</v>
      </c>
      <c r="D326" s="100" t="s">
        <v>519</v>
      </c>
      <c r="E326" s="100">
        <v>83</v>
      </c>
      <c r="F326" s="100" t="s">
        <v>868</v>
      </c>
      <c r="G326" s="101">
        <v>3.6</v>
      </c>
      <c r="H326" s="101">
        <v>29880</v>
      </c>
      <c r="I326" s="100" t="s">
        <v>908</v>
      </c>
      <c r="J326" s="101">
        <v>0</v>
      </c>
      <c r="K326" s="101">
        <v>0</v>
      </c>
      <c r="L326" s="100" t="s">
        <v>465</v>
      </c>
      <c r="M326" s="100">
        <v>29824.39</v>
      </c>
      <c r="N326" s="121">
        <v>0.1109</v>
      </c>
    </row>
    <row r="327" spans="3:14" x14ac:dyDescent="0.25">
      <c r="C327" s="99">
        <v>210</v>
      </c>
      <c r="D327" s="100" t="s">
        <v>522</v>
      </c>
      <c r="E327" s="100">
        <v>49</v>
      </c>
      <c r="F327" s="100" t="s">
        <v>1404</v>
      </c>
      <c r="G327" s="101">
        <v>6.2</v>
      </c>
      <c r="H327" s="101">
        <v>30380</v>
      </c>
      <c r="I327" s="100" t="s">
        <v>908</v>
      </c>
      <c r="J327" s="101">
        <v>0</v>
      </c>
      <c r="K327" s="101">
        <v>0</v>
      </c>
      <c r="L327" s="100" t="s">
        <v>465</v>
      </c>
      <c r="M327" s="100">
        <v>30347.17</v>
      </c>
      <c r="N327" s="121">
        <v>0.12690000000000001</v>
      </c>
    </row>
    <row r="328" spans="3:14" x14ac:dyDescent="0.25">
      <c r="C328" s="99">
        <v>211</v>
      </c>
      <c r="D328" s="100" t="s">
        <v>522</v>
      </c>
      <c r="E328" s="100">
        <v>64</v>
      </c>
      <c r="F328" s="100" t="s">
        <v>838</v>
      </c>
      <c r="G328" s="101">
        <v>4.8499999999999996</v>
      </c>
      <c r="H328" s="101">
        <v>31040</v>
      </c>
      <c r="I328" s="100" t="s">
        <v>908</v>
      </c>
      <c r="J328" s="101">
        <v>0</v>
      </c>
      <c r="K328" s="101">
        <v>0</v>
      </c>
      <c r="L328" s="100" t="s">
        <v>465</v>
      </c>
      <c r="M328" s="100">
        <v>30997.119999999999</v>
      </c>
      <c r="N328" s="121">
        <v>0.1016</v>
      </c>
    </row>
    <row r="329" spans="3:14" x14ac:dyDescent="0.25">
      <c r="C329" s="99">
        <v>212</v>
      </c>
      <c r="D329" s="100" t="s">
        <v>508</v>
      </c>
      <c r="E329" s="100">
        <v>94</v>
      </c>
      <c r="F329" s="100" t="s">
        <v>863</v>
      </c>
      <c r="G329" s="101">
        <v>3.75</v>
      </c>
      <c r="H329" s="101">
        <v>35250</v>
      </c>
      <c r="I329" s="100" t="s">
        <v>908</v>
      </c>
      <c r="J329" s="101">
        <v>0</v>
      </c>
      <c r="K329" s="101">
        <v>0</v>
      </c>
      <c r="L329" s="100" t="s">
        <v>465</v>
      </c>
      <c r="M329" s="100">
        <v>35187.019999999997</v>
      </c>
      <c r="N329" s="121">
        <v>0.1033</v>
      </c>
    </row>
    <row r="330" spans="3:14" x14ac:dyDescent="0.25">
      <c r="C330" s="99">
        <v>213</v>
      </c>
      <c r="D330" s="100" t="s">
        <v>814</v>
      </c>
      <c r="E330" s="100">
        <v>74</v>
      </c>
      <c r="F330" s="100" t="s">
        <v>843</v>
      </c>
      <c r="G330" s="101">
        <v>5</v>
      </c>
      <c r="H330" s="101">
        <v>37000</v>
      </c>
      <c r="I330" s="100" t="s">
        <v>1405</v>
      </c>
      <c r="J330" s="101">
        <v>0</v>
      </c>
      <c r="K330" s="101">
        <v>0</v>
      </c>
      <c r="L330" s="100" t="s">
        <v>465</v>
      </c>
      <c r="M330" s="100">
        <v>36950.42</v>
      </c>
      <c r="N330" s="121">
        <v>9.9900000000000003E-2</v>
      </c>
    </row>
    <row r="331" spans="3:14" x14ac:dyDescent="0.25">
      <c r="C331" s="99">
        <v>214</v>
      </c>
      <c r="D331" s="100" t="s">
        <v>461</v>
      </c>
      <c r="E331" s="100">
        <v>20</v>
      </c>
      <c r="F331" s="100" t="s">
        <v>1406</v>
      </c>
      <c r="G331" s="101">
        <v>18.2</v>
      </c>
      <c r="H331" s="101">
        <v>36400</v>
      </c>
      <c r="I331" s="100" t="s">
        <v>1405</v>
      </c>
      <c r="J331" s="101">
        <v>0</v>
      </c>
      <c r="K331" s="101">
        <v>0</v>
      </c>
      <c r="L331" s="100" t="s">
        <v>465</v>
      </c>
      <c r="M331" s="100">
        <v>36386.6</v>
      </c>
      <c r="N331" s="121">
        <v>0.10290000000000001</v>
      </c>
    </row>
    <row r="332" spans="3:14" x14ac:dyDescent="0.25">
      <c r="C332" s="99">
        <v>215</v>
      </c>
      <c r="D332" s="100" t="s">
        <v>461</v>
      </c>
      <c r="E332" s="100">
        <v>22</v>
      </c>
      <c r="F332" s="100" t="s">
        <v>849</v>
      </c>
      <c r="G332" s="101">
        <v>17.3</v>
      </c>
      <c r="H332" s="101">
        <v>38060</v>
      </c>
      <c r="I332" s="100" t="s">
        <v>1405</v>
      </c>
      <c r="J332" s="101">
        <v>0</v>
      </c>
      <c r="K332" s="101">
        <v>0</v>
      </c>
      <c r="L332" s="100" t="s">
        <v>465</v>
      </c>
      <c r="M332" s="100">
        <v>38045.26</v>
      </c>
      <c r="N332" s="121">
        <v>9.4700000000000006E-2</v>
      </c>
    </row>
    <row r="333" spans="3:14" x14ac:dyDescent="0.25">
      <c r="C333" s="99">
        <v>216</v>
      </c>
      <c r="D333" s="100" t="s">
        <v>524</v>
      </c>
      <c r="E333" s="100">
        <v>83</v>
      </c>
      <c r="F333" s="100" t="s">
        <v>854</v>
      </c>
      <c r="G333" s="101">
        <v>4.8</v>
      </c>
      <c r="H333" s="101">
        <v>39840</v>
      </c>
      <c r="I333" s="100" t="s">
        <v>1405</v>
      </c>
      <c r="J333" s="101">
        <v>0</v>
      </c>
      <c r="K333" s="101">
        <v>0</v>
      </c>
      <c r="L333" s="100" t="s">
        <v>465</v>
      </c>
      <c r="M333" s="100">
        <v>39784.39</v>
      </c>
      <c r="N333" s="121">
        <v>9.5500000000000002E-2</v>
      </c>
    </row>
    <row r="334" spans="3:14" x14ac:dyDescent="0.25">
      <c r="C334" s="99">
        <v>217</v>
      </c>
      <c r="D334" s="100" t="s">
        <v>524</v>
      </c>
      <c r="E334" s="100">
        <v>82</v>
      </c>
      <c r="F334" s="100" t="s">
        <v>1270</v>
      </c>
      <c r="G334" s="101">
        <v>5.0999999999999996</v>
      </c>
      <c r="H334" s="101">
        <v>41820</v>
      </c>
      <c r="I334" s="100" t="s">
        <v>1405</v>
      </c>
      <c r="J334" s="101">
        <v>0</v>
      </c>
      <c r="K334" s="101">
        <v>0</v>
      </c>
      <c r="L334" s="100" t="s">
        <v>465</v>
      </c>
      <c r="M334" s="100">
        <v>41765.06</v>
      </c>
      <c r="N334" s="121">
        <v>9.2799999999999994E-2</v>
      </c>
    </row>
    <row r="335" spans="3:14" x14ac:dyDescent="0.25">
      <c r="C335" s="99">
        <v>218</v>
      </c>
      <c r="D335" s="100" t="s">
        <v>524</v>
      </c>
      <c r="E335" s="100">
        <v>79</v>
      </c>
      <c r="F335" s="100" t="s">
        <v>888</v>
      </c>
      <c r="G335" s="101">
        <v>5.2</v>
      </c>
      <c r="H335" s="101">
        <v>41080</v>
      </c>
      <c r="I335" s="100" t="s">
        <v>1405</v>
      </c>
      <c r="J335" s="101">
        <v>0</v>
      </c>
      <c r="K335" s="101">
        <v>0</v>
      </c>
      <c r="L335" s="100" t="s">
        <v>465</v>
      </c>
      <c r="M335" s="100">
        <v>41027.07</v>
      </c>
      <c r="N335" s="121">
        <v>9.3100000000000002E-2</v>
      </c>
    </row>
    <row r="336" spans="3:14" x14ac:dyDescent="0.25">
      <c r="C336" s="99">
        <v>219</v>
      </c>
      <c r="D336" s="100" t="s">
        <v>508</v>
      </c>
      <c r="E336" s="100">
        <v>78</v>
      </c>
      <c r="F336" s="100" t="s">
        <v>871</v>
      </c>
      <c r="G336" s="101">
        <v>4.75</v>
      </c>
      <c r="H336" s="101">
        <v>37050</v>
      </c>
      <c r="I336" s="100" t="s">
        <v>1407</v>
      </c>
      <c r="J336" s="101">
        <v>0</v>
      </c>
      <c r="K336" s="101">
        <v>0</v>
      </c>
      <c r="L336" s="100" t="s">
        <v>465</v>
      </c>
      <c r="M336" s="100">
        <v>36997.74</v>
      </c>
      <c r="N336" s="121">
        <v>0.12570000000000001</v>
      </c>
    </row>
    <row r="337" spans="3:14" x14ac:dyDescent="0.25">
      <c r="C337" s="99">
        <v>220</v>
      </c>
      <c r="D337" s="100" t="s">
        <v>508</v>
      </c>
      <c r="E337" s="100">
        <v>83</v>
      </c>
      <c r="F337" s="100" t="s">
        <v>1385</v>
      </c>
      <c r="G337" s="101">
        <v>4.3499999999999996</v>
      </c>
      <c r="H337" s="101">
        <v>36105</v>
      </c>
      <c r="I337" s="100" t="s">
        <v>1407</v>
      </c>
      <c r="J337" s="101">
        <v>0</v>
      </c>
      <c r="K337" s="101">
        <v>0</v>
      </c>
      <c r="L337" s="100" t="s">
        <v>465</v>
      </c>
      <c r="M337" s="100">
        <v>36049.39</v>
      </c>
      <c r="N337" s="121">
        <v>0.12180000000000001</v>
      </c>
    </row>
    <row r="338" spans="3:14" x14ac:dyDescent="0.25">
      <c r="C338" s="99">
        <v>221</v>
      </c>
      <c r="D338" s="100" t="s">
        <v>407</v>
      </c>
      <c r="E338" s="100">
        <v>19</v>
      </c>
      <c r="F338" s="100" t="s">
        <v>845</v>
      </c>
      <c r="G338" s="101">
        <v>18.649999999999999</v>
      </c>
      <c r="H338" s="101">
        <v>35435</v>
      </c>
      <c r="I338" s="100" t="s">
        <v>1407</v>
      </c>
      <c r="J338" s="101">
        <v>0</v>
      </c>
      <c r="K338" s="101">
        <v>0</v>
      </c>
      <c r="L338" s="100" t="s">
        <v>465</v>
      </c>
      <c r="M338" s="100">
        <v>35422.269999999997</v>
      </c>
      <c r="N338" s="121">
        <v>9.2600000000000002E-2</v>
      </c>
    </row>
    <row r="339" spans="3:14" x14ac:dyDescent="0.25">
      <c r="C339" s="99">
        <v>222</v>
      </c>
      <c r="D339" s="100" t="s">
        <v>407</v>
      </c>
      <c r="E339" s="100">
        <v>17</v>
      </c>
      <c r="F339" s="100" t="s">
        <v>857</v>
      </c>
      <c r="G339" s="101">
        <v>19.5</v>
      </c>
      <c r="H339" s="101">
        <v>33150</v>
      </c>
      <c r="I339" s="100" t="s">
        <v>1407</v>
      </c>
      <c r="J339" s="101">
        <v>0</v>
      </c>
      <c r="K339" s="101">
        <v>0</v>
      </c>
      <c r="L339" s="100" t="s">
        <v>465</v>
      </c>
      <c r="M339" s="100">
        <v>33138.61</v>
      </c>
      <c r="N339" s="121">
        <v>0.1023</v>
      </c>
    </row>
    <row r="340" spans="3:14" x14ac:dyDescent="0.25">
      <c r="C340" s="99">
        <v>223</v>
      </c>
      <c r="D340" s="100" t="s">
        <v>508</v>
      </c>
      <c r="E340" s="100">
        <v>89</v>
      </c>
      <c r="F340" s="100" t="s">
        <v>1408</v>
      </c>
      <c r="G340" s="101">
        <v>3.95</v>
      </c>
      <c r="H340" s="101">
        <v>35155</v>
      </c>
      <c r="I340" s="100" t="s">
        <v>1407</v>
      </c>
      <c r="J340" s="101">
        <v>0</v>
      </c>
      <c r="K340" s="101">
        <v>0</v>
      </c>
      <c r="L340" s="100" t="s">
        <v>465</v>
      </c>
      <c r="M340" s="100">
        <v>35095.370000000003</v>
      </c>
      <c r="N340" s="121">
        <v>0.11749999999999999</v>
      </c>
    </row>
    <row r="341" spans="3:14" x14ac:dyDescent="0.25">
      <c r="C341" s="99">
        <v>224</v>
      </c>
      <c r="D341" s="100" t="s">
        <v>902</v>
      </c>
      <c r="E341" s="100">
        <v>107</v>
      </c>
      <c r="F341" s="100" t="s">
        <v>862</v>
      </c>
      <c r="G341" s="101">
        <v>3.75</v>
      </c>
      <c r="H341" s="101">
        <v>40125</v>
      </c>
      <c r="I341" s="100" t="s">
        <v>1407</v>
      </c>
      <c r="J341" s="101">
        <v>0</v>
      </c>
      <c r="K341" s="101">
        <v>0</v>
      </c>
      <c r="L341" s="100" t="s">
        <v>465</v>
      </c>
      <c r="M341" s="100">
        <v>40053.31</v>
      </c>
      <c r="N341" s="121">
        <v>0.1062</v>
      </c>
    </row>
    <row r="342" spans="3:14" x14ac:dyDescent="0.25">
      <c r="C342" s="99">
        <v>225</v>
      </c>
      <c r="D342" s="100" t="s">
        <v>902</v>
      </c>
      <c r="E342" s="100">
        <v>116</v>
      </c>
      <c r="F342" s="100" t="s">
        <v>903</v>
      </c>
      <c r="G342" s="101">
        <v>3.55</v>
      </c>
      <c r="H342" s="101">
        <v>41180</v>
      </c>
      <c r="I342" s="100" t="s">
        <v>1407</v>
      </c>
      <c r="J342" s="101">
        <v>0</v>
      </c>
      <c r="K342" s="101">
        <v>0</v>
      </c>
      <c r="L342" s="100" t="s">
        <v>465</v>
      </c>
      <c r="M342" s="100">
        <v>41102.28</v>
      </c>
      <c r="N342" s="121">
        <v>9.4600000000000004E-2</v>
      </c>
    </row>
    <row r="343" spans="3:14" x14ac:dyDescent="0.25">
      <c r="C343" s="99">
        <v>226</v>
      </c>
      <c r="D343" s="100" t="s">
        <v>902</v>
      </c>
      <c r="E343" s="100">
        <v>106</v>
      </c>
      <c r="F343" s="100" t="s">
        <v>874</v>
      </c>
      <c r="G343" s="101">
        <v>3.65</v>
      </c>
      <c r="H343" s="101">
        <v>38690</v>
      </c>
      <c r="I343" s="100" t="s">
        <v>1407</v>
      </c>
      <c r="J343" s="101">
        <v>0</v>
      </c>
      <c r="K343" s="101">
        <v>0</v>
      </c>
      <c r="L343" s="100" t="s">
        <v>465</v>
      </c>
      <c r="M343" s="100">
        <v>38618.980000000003</v>
      </c>
      <c r="N343" s="121">
        <v>9.5000000000000001E-2</v>
      </c>
    </row>
    <row r="344" spans="3:14" x14ac:dyDescent="0.25">
      <c r="C344" s="99">
        <v>227</v>
      </c>
      <c r="D344" s="100" t="s">
        <v>524</v>
      </c>
      <c r="E344" s="100">
        <v>60</v>
      </c>
      <c r="F344" s="100" t="s">
        <v>898</v>
      </c>
      <c r="G344" s="101">
        <v>6.8</v>
      </c>
      <c r="H344" s="101">
        <v>40800</v>
      </c>
      <c r="I344" s="100" t="s">
        <v>1411</v>
      </c>
      <c r="J344" s="101">
        <v>0</v>
      </c>
      <c r="K344" s="101">
        <v>0</v>
      </c>
      <c r="L344" s="100" t="s">
        <v>465</v>
      </c>
      <c r="M344" s="100">
        <v>40759.800000000003</v>
      </c>
      <c r="N344" s="121">
        <v>0.12770000000000001</v>
      </c>
    </row>
    <row r="345" spans="3:14" x14ac:dyDescent="0.25">
      <c r="C345" s="99">
        <v>228</v>
      </c>
      <c r="D345" s="100" t="s">
        <v>524</v>
      </c>
      <c r="E345" s="100">
        <v>77</v>
      </c>
      <c r="F345" s="100" t="s">
        <v>1412</v>
      </c>
      <c r="G345" s="101">
        <v>5.2</v>
      </c>
      <c r="H345" s="101">
        <v>40040</v>
      </c>
      <c r="I345" s="100" t="s">
        <v>1411</v>
      </c>
      <c r="J345" s="101">
        <v>0</v>
      </c>
      <c r="K345" s="101">
        <v>0</v>
      </c>
      <c r="L345" s="100" t="s">
        <v>465</v>
      </c>
      <c r="M345" s="100">
        <v>39988.410000000003</v>
      </c>
      <c r="N345" s="121">
        <v>0.1043</v>
      </c>
    </row>
    <row r="346" spans="3:14" x14ac:dyDescent="0.25">
      <c r="C346" s="99">
        <v>229</v>
      </c>
      <c r="D346" s="100" t="s">
        <v>508</v>
      </c>
      <c r="E346" s="100">
        <v>79</v>
      </c>
      <c r="F346" s="100" t="s">
        <v>890</v>
      </c>
      <c r="G346" s="101">
        <v>4.7</v>
      </c>
      <c r="H346" s="101">
        <v>37130</v>
      </c>
      <c r="I346" s="100" t="s">
        <v>1411</v>
      </c>
      <c r="J346" s="101">
        <v>0</v>
      </c>
      <c r="K346" s="101">
        <v>0</v>
      </c>
      <c r="L346" s="100" t="s">
        <v>465</v>
      </c>
      <c r="M346" s="100">
        <v>37077.07</v>
      </c>
      <c r="N346" s="121">
        <v>0.1036</v>
      </c>
    </row>
    <row r="347" spans="3:14" x14ac:dyDescent="0.25">
      <c r="C347" s="99">
        <v>230</v>
      </c>
      <c r="D347" s="100" t="s">
        <v>407</v>
      </c>
      <c r="E347" s="100">
        <v>17</v>
      </c>
      <c r="F347" s="100" t="s">
        <v>882</v>
      </c>
      <c r="G347" s="101">
        <v>21.2</v>
      </c>
      <c r="H347" s="101">
        <v>36040</v>
      </c>
      <c r="I347" s="100" t="s">
        <v>1417</v>
      </c>
      <c r="J347" s="101">
        <v>0</v>
      </c>
      <c r="K347" s="101">
        <v>0</v>
      </c>
      <c r="L347" s="100" t="s">
        <v>465</v>
      </c>
      <c r="M347" s="100">
        <v>36028.61</v>
      </c>
      <c r="N347" s="121">
        <v>9.2600000000000002E-2</v>
      </c>
    </row>
    <row r="348" spans="3:14" x14ac:dyDescent="0.25">
      <c r="C348" s="99">
        <v>231</v>
      </c>
      <c r="D348" s="100" t="s">
        <v>706</v>
      </c>
      <c r="E348" s="100">
        <v>100</v>
      </c>
      <c r="F348" s="100" t="s">
        <v>892</v>
      </c>
      <c r="G348" s="101">
        <v>3.6</v>
      </c>
      <c r="H348" s="101">
        <v>36000</v>
      </c>
      <c r="I348" s="100" t="s">
        <v>1418</v>
      </c>
      <c r="J348" s="101">
        <v>0</v>
      </c>
      <c r="K348" s="101">
        <v>0</v>
      </c>
      <c r="L348" s="100" t="s">
        <v>465</v>
      </c>
      <c r="M348" s="100">
        <v>35933</v>
      </c>
      <c r="N348" s="121">
        <v>0.1144</v>
      </c>
    </row>
    <row r="349" spans="3:14" x14ac:dyDescent="0.25">
      <c r="C349" s="99">
        <v>232</v>
      </c>
      <c r="D349" s="100" t="s">
        <v>706</v>
      </c>
      <c r="E349" s="100">
        <v>103</v>
      </c>
      <c r="F349" s="100" t="s">
        <v>1419</v>
      </c>
      <c r="G349" s="101">
        <v>3.6</v>
      </c>
      <c r="H349" s="101">
        <v>37080</v>
      </c>
      <c r="I349" s="100" t="s">
        <v>1418</v>
      </c>
      <c r="J349" s="101">
        <v>0</v>
      </c>
      <c r="K349" s="101">
        <v>0</v>
      </c>
      <c r="L349" s="100" t="s">
        <v>465</v>
      </c>
      <c r="M349" s="100">
        <v>37010.99</v>
      </c>
      <c r="N349" s="121">
        <v>0.1076</v>
      </c>
    </row>
    <row r="350" spans="3:14" x14ac:dyDescent="0.25">
      <c r="C350" s="99">
        <v>233</v>
      </c>
      <c r="D350" s="100" t="s">
        <v>706</v>
      </c>
      <c r="E350" s="100">
        <v>98</v>
      </c>
      <c r="F350" s="100" t="s">
        <v>1399</v>
      </c>
      <c r="G350" s="101">
        <v>3.7</v>
      </c>
      <c r="H350" s="101">
        <v>36260</v>
      </c>
      <c r="I350" s="100" t="s">
        <v>1418</v>
      </c>
      <c r="J350" s="101">
        <v>0</v>
      </c>
      <c r="K350" s="101">
        <v>0</v>
      </c>
      <c r="L350" s="100" t="s">
        <v>465</v>
      </c>
      <c r="M350" s="100">
        <v>36194.339999999997</v>
      </c>
      <c r="N350" s="121">
        <v>0.1143</v>
      </c>
    </row>
    <row r="351" spans="3:14" x14ac:dyDescent="0.25">
      <c r="C351" s="99">
        <v>234</v>
      </c>
      <c r="D351" s="100" t="s">
        <v>508</v>
      </c>
      <c r="E351" s="100">
        <v>78</v>
      </c>
      <c r="F351" s="100" t="s">
        <v>894</v>
      </c>
      <c r="G351" s="101">
        <v>5.2</v>
      </c>
      <c r="H351" s="101">
        <v>40560</v>
      </c>
      <c r="I351" s="100" t="s">
        <v>1290</v>
      </c>
      <c r="J351" s="101">
        <v>0</v>
      </c>
      <c r="K351" s="101">
        <v>0</v>
      </c>
      <c r="L351" s="100" t="s">
        <v>465</v>
      </c>
      <c r="M351" s="100">
        <v>40507.74</v>
      </c>
      <c r="N351" s="121">
        <v>0.10979999999999999</v>
      </c>
    </row>
    <row r="352" spans="3:14" x14ac:dyDescent="0.25">
      <c r="C352" s="99">
        <v>235</v>
      </c>
      <c r="D352" s="100" t="s">
        <v>508</v>
      </c>
      <c r="E352" s="100">
        <v>94</v>
      </c>
      <c r="F352" s="100" t="s">
        <v>1424</v>
      </c>
      <c r="G352" s="101">
        <v>4.3499999999999996</v>
      </c>
      <c r="H352" s="101">
        <v>40890</v>
      </c>
      <c r="I352" s="100" t="s">
        <v>1290</v>
      </c>
      <c r="J352" s="101">
        <v>0</v>
      </c>
      <c r="K352" s="101">
        <v>0</v>
      </c>
      <c r="L352" s="100" t="s">
        <v>465</v>
      </c>
      <c r="M352" s="100">
        <v>40827.019999999997</v>
      </c>
      <c r="N352" s="121">
        <v>9.5100000000000004E-2</v>
      </c>
    </row>
    <row r="353" spans="3:14" x14ac:dyDescent="0.25">
      <c r="C353" s="99">
        <v>236</v>
      </c>
      <c r="D353" s="100" t="s">
        <v>943</v>
      </c>
      <c r="E353" s="100">
        <v>27</v>
      </c>
      <c r="F353" s="100" t="s">
        <v>1425</v>
      </c>
      <c r="G353" s="101">
        <v>15.9</v>
      </c>
      <c r="H353" s="101">
        <v>42930</v>
      </c>
      <c r="I353" s="100" t="s">
        <v>1290</v>
      </c>
      <c r="J353" s="101">
        <v>0</v>
      </c>
      <c r="K353" s="101">
        <v>0</v>
      </c>
      <c r="L353" s="100" t="s">
        <v>465</v>
      </c>
      <c r="M353" s="100">
        <v>42911.91</v>
      </c>
      <c r="N353" s="121">
        <v>0.1129</v>
      </c>
    </row>
    <row r="354" spans="3:14" x14ac:dyDescent="0.25">
      <c r="C354" s="99">
        <v>237</v>
      </c>
      <c r="D354" s="100" t="s">
        <v>943</v>
      </c>
      <c r="E354" s="100">
        <v>27</v>
      </c>
      <c r="F354" s="100" t="s">
        <v>897</v>
      </c>
      <c r="G354" s="101">
        <v>15.55</v>
      </c>
      <c r="H354" s="101">
        <v>41985</v>
      </c>
      <c r="I354" s="100" t="s">
        <v>1290</v>
      </c>
      <c r="J354" s="101">
        <v>0</v>
      </c>
      <c r="K354" s="101">
        <v>0</v>
      </c>
      <c r="L354" s="100" t="s">
        <v>465</v>
      </c>
      <c r="M354" s="100">
        <v>41966.91</v>
      </c>
      <c r="N354" s="121">
        <v>0.1115</v>
      </c>
    </row>
    <row r="355" spans="3:14" x14ac:dyDescent="0.25">
      <c r="C355" s="99">
        <v>238</v>
      </c>
      <c r="D355" s="100" t="s">
        <v>943</v>
      </c>
      <c r="E355" s="100">
        <v>28</v>
      </c>
      <c r="F355" s="100" t="s">
        <v>1426</v>
      </c>
      <c r="G355" s="101">
        <v>15.4</v>
      </c>
      <c r="H355" s="101">
        <v>43120</v>
      </c>
      <c r="I355" s="100" t="s">
        <v>1290</v>
      </c>
      <c r="J355" s="101">
        <v>0</v>
      </c>
      <c r="K355" s="101">
        <v>0</v>
      </c>
      <c r="L355" s="100" t="s">
        <v>465</v>
      </c>
      <c r="M355" s="100">
        <v>43101.24</v>
      </c>
      <c r="N355" s="121">
        <v>0.1065</v>
      </c>
    </row>
    <row r="356" spans="3:14" x14ac:dyDescent="0.25">
      <c r="C356" s="99">
        <v>239</v>
      </c>
      <c r="D356" s="100" t="s">
        <v>930</v>
      </c>
      <c r="E356" s="100">
        <v>133</v>
      </c>
      <c r="F356" s="100" t="s">
        <v>933</v>
      </c>
      <c r="G356" s="101">
        <v>3.8</v>
      </c>
      <c r="H356" s="101">
        <v>50540</v>
      </c>
      <c r="I356" s="100" t="s">
        <v>1435</v>
      </c>
      <c r="J356" s="101">
        <v>0</v>
      </c>
      <c r="K356" s="101">
        <v>0</v>
      </c>
      <c r="L356" s="100" t="s">
        <v>465</v>
      </c>
      <c r="M356" s="100">
        <v>50450.89</v>
      </c>
      <c r="N356" s="121">
        <v>0.15670000000000001</v>
      </c>
    </row>
    <row r="357" spans="3:14" x14ac:dyDescent="0.25">
      <c r="C357" s="99">
        <v>240</v>
      </c>
      <c r="D357" s="100" t="s">
        <v>930</v>
      </c>
      <c r="E357" s="100">
        <v>126</v>
      </c>
      <c r="F357" s="100" t="s">
        <v>935</v>
      </c>
      <c r="G357" s="101">
        <v>4</v>
      </c>
      <c r="H357" s="101">
        <v>50400</v>
      </c>
      <c r="I357" s="100" t="s">
        <v>1435</v>
      </c>
      <c r="J357" s="101">
        <v>0</v>
      </c>
      <c r="K357" s="101">
        <v>0</v>
      </c>
      <c r="L357" s="100" t="s">
        <v>465</v>
      </c>
      <c r="M357" s="100">
        <v>50315.58</v>
      </c>
      <c r="N357" s="121">
        <v>0.15970000000000001</v>
      </c>
    </row>
    <row r="358" spans="3:14" x14ac:dyDescent="0.25">
      <c r="C358" s="99">
        <v>241</v>
      </c>
      <c r="D358" s="100" t="s">
        <v>930</v>
      </c>
      <c r="E358" s="100">
        <v>128</v>
      </c>
      <c r="F358" s="100" t="s">
        <v>931</v>
      </c>
      <c r="G358" s="101">
        <v>3.85</v>
      </c>
      <c r="H358" s="101">
        <v>49280</v>
      </c>
      <c r="I358" s="100" t="s">
        <v>1435</v>
      </c>
      <c r="J358" s="101">
        <v>0</v>
      </c>
      <c r="K358" s="101">
        <v>0</v>
      </c>
      <c r="L358" s="100" t="s">
        <v>465</v>
      </c>
      <c r="M358" s="100">
        <v>49194.239999999998</v>
      </c>
      <c r="N358" s="121">
        <v>0.16600000000000001</v>
      </c>
    </row>
    <row r="359" spans="3:14" x14ac:dyDescent="0.25">
      <c r="C359" s="99">
        <v>242</v>
      </c>
      <c r="D359" s="100" t="s">
        <v>937</v>
      </c>
      <c r="E359" s="100">
        <v>54</v>
      </c>
      <c r="F359" s="100" t="s">
        <v>938</v>
      </c>
      <c r="G359" s="101">
        <v>9.1999999999999993</v>
      </c>
      <c r="H359" s="101">
        <v>49680</v>
      </c>
      <c r="I359" s="100" t="s">
        <v>1435</v>
      </c>
      <c r="J359" s="101">
        <v>0</v>
      </c>
      <c r="K359" s="101">
        <v>0</v>
      </c>
      <c r="L359" s="100" t="s">
        <v>465</v>
      </c>
      <c r="M359" s="100">
        <v>49643.82</v>
      </c>
      <c r="N359" s="121">
        <v>9.1200000000000003E-2</v>
      </c>
    </row>
    <row r="360" spans="3:14" x14ac:dyDescent="0.25">
      <c r="C360" s="99">
        <v>243</v>
      </c>
      <c r="D360" s="100" t="s">
        <v>930</v>
      </c>
      <c r="E360" s="100">
        <v>123</v>
      </c>
      <c r="F360" s="100" t="s">
        <v>940</v>
      </c>
      <c r="G360" s="101">
        <v>4.05</v>
      </c>
      <c r="H360" s="101">
        <v>49815</v>
      </c>
      <c r="I360" s="100" t="s">
        <v>1435</v>
      </c>
      <c r="J360" s="101">
        <v>0</v>
      </c>
      <c r="K360" s="101">
        <v>0</v>
      </c>
      <c r="L360" s="100" t="s">
        <v>465</v>
      </c>
      <c r="M360" s="100">
        <v>49732.59</v>
      </c>
      <c r="N360" s="121">
        <v>0.15579999999999999</v>
      </c>
    </row>
    <row r="361" spans="3:14" x14ac:dyDescent="0.25">
      <c r="C361" s="99">
        <v>244</v>
      </c>
      <c r="D361" s="100" t="s">
        <v>930</v>
      </c>
      <c r="E361" s="100">
        <v>127</v>
      </c>
      <c r="F361" s="100" t="s">
        <v>941</v>
      </c>
      <c r="G361" s="101">
        <v>4.05</v>
      </c>
      <c r="H361" s="101">
        <v>51435</v>
      </c>
      <c r="I361" s="100" t="s">
        <v>1435</v>
      </c>
      <c r="J361" s="101">
        <v>0</v>
      </c>
      <c r="K361" s="101">
        <v>0</v>
      </c>
      <c r="L361" s="100" t="s">
        <v>465</v>
      </c>
      <c r="M361" s="100">
        <v>51349.91</v>
      </c>
      <c r="N361" s="121">
        <v>0.15</v>
      </c>
    </row>
    <row r="362" spans="3:14" x14ac:dyDescent="0.25">
      <c r="C362" s="99">
        <v>245</v>
      </c>
      <c r="D362" s="100" t="s">
        <v>1451</v>
      </c>
      <c r="E362" s="100">
        <v>35</v>
      </c>
      <c r="F362" s="100" t="s">
        <v>1452</v>
      </c>
      <c r="G362" s="101">
        <v>13.4</v>
      </c>
      <c r="H362" s="101">
        <v>46900</v>
      </c>
      <c r="I362" s="100" t="s">
        <v>1057</v>
      </c>
      <c r="J362" s="101">
        <v>0</v>
      </c>
      <c r="K362" s="101">
        <v>0</v>
      </c>
      <c r="L362" s="100" t="s">
        <v>465</v>
      </c>
      <c r="M362" s="100">
        <v>46876.55</v>
      </c>
      <c r="N362" s="121">
        <v>9.8000000000000004E-2</v>
      </c>
    </row>
    <row r="363" spans="3:14" x14ac:dyDescent="0.25">
      <c r="C363" s="99">
        <v>246</v>
      </c>
      <c r="D363" s="100" t="s">
        <v>524</v>
      </c>
      <c r="E363" s="100">
        <v>61</v>
      </c>
      <c r="F363" s="100" t="s">
        <v>951</v>
      </c>
      <c r="G363" s="101">
        <v>7.6</v>
      </c>
      <c r="H363" s="101">
        <v>46360</v>
      </c>
      <c r="I363" s="100" t="s">
        <v>1455</v>
      </c>
      <c r="J363" s="101">
        <v>0</v>
      </c>
      <c r="K363" s="101">
        <v>0</v>
      </c>
      <c r="L363" s="100" t="s">
        <v>465</v>
      </c>
      <c r="M363" s="100">
        <v>46319.13</v>
      </c>
      <c r="N363" s="121">
        <v>9.2200000000000004E-2</v>
      </c>
    </row>
    <row r="364" spans="3:14" x14ac:dyDescent="0.25">
      <c r="C364" s="99">
        <v>247</v>
      </c>
      <c r="D364" s="100" t="s">
        <v>930</v>
      </c>
      <c r="E364" s="100">
        <v>92</v>
      </c>
      <c r="F364" s="100" t="s">
        <v>961</v>
      </c>
      <c r="G364" s="101">
        <v>5.0999999999999996</v>
      </c>
      <c r="H364" s="101">
        <v>46920</v>
      </c>
      <c r="I364" s="100" t="s">
        <v>1455</v>
      </c>
      <c r="J364" s="101">
        <v>0</v>
      </c>
      <c r="K364" s="101">
        <v>0</v>
      </c>
      <c r="L364" s="100" t="s">
        <v>465</v>
      </c>
      <c r="M364" s="100">
        <v>46858.36</v>
      </c>
      <c r="N364" s="121">
        <v>0.13800000000000001</v>
      </c>
    </row>
    <row r="365" spans="3:14" x14ac:dyDescent="0.25">
      <c r="C365" s="99">
        <v>248</v>
      </c>
      <c r="D365" s="100" t="s">
        <v>930</v>
      </c>
      <c r="E365" s="100">
        <v>98</v>
      </c>
      <c r="F365" s="100" t="s">
        <v>967</v>
      </c>
      <c r="G365" s="101">
        <v>4.9000000000000004</v>
      </c>
      <c r="H365" s="101">
        <v>48020</v>
      </c>
      <c r="I365" s="100" t="s">
        <v>1455</v>
      </c>
      <c r="J365" s="101">
        <v>0</v>
      </c>
      <c r="K365" s="101">
        <v>0</v>
      </c>
      <c r="L365" s="100" t="s">
        <v>465</v>
      </c>
      <c r="M365" s="100">
        <v>47954.34</v>
      </c>
      <c r="N365" s="121">
        <v>0.122</v>
      </c>
    </row>
    <row r="366" spans="3:14" x14ac:dyDescent="0.25">
      <c r="C366" s="99">
        <v>249</v>
      </c>
      <c r="D366" s="100" t="s">
        <v>930</v>
      </c>
      <c r="E366" s="100">
        <v>113</v>
      </c>
      <c r="F366" s="100" t="s">
        <v>970</v>
      </c>
      <c r="G366" s="101">
        <v>4.3</v>
      </c>
      <c r="H366" s="101">
        <v>48590</v>
      </c>
      <c r="I366" s="100" t="s">
        <v>1455</v>
      </c>
      <c r="J366" s="101">
        <v>0</v>
      </c>
      <c r="K366" s="101">
        <v>0</v>
      </c>
      <c r="L366" s="100" t="s">
        <v>465</v>
      </c>
      <c r="M366" s="100">
        <v>48514.29</v>
      </c>
      <c r="N366" s="121">
        <v>0.1081</v>
      </c>
    </row>
    <row r="367" spans="3:14" x14ac:dyDescent="0.25">
      <c r="C367" s="99">
        <v>250</v>
      </c>
      <c r="D367" s="100" t="s">
        <v>1067</v>
      </c>
      <c r="E367" s="100">
        <v>131</v>
      </c>
      <c r="F367" s="100" t="s">
        <v>1080</v>
      </c>
      <c r="G367" s="101">
        <v>3.65</v>
      </c>
      <c r="H367" s="101">
        <v>47815</v>
      </c>
      <c r="I367" s="100" t="s">
        <v>1462</v>
      </c>
      <c r="J367" s="101">
        <v>0</v>
      </c>
      <c r="K367" s="101">
        <v>0</v>
      </c>
      <c r="L367" s="100" t="s">
        <v>465</v>
      </c>
      <c r="M367" s="100">
        <v>47727.23</v>
      </c>
      <c r="N367" s="121">
        <v>9.5000000000000001E-2</v>
      </c>
    </row>
    <row r="368" spans="3:14" x14ac:dyDescent="0.25">
      <c r="C368" s="99">
        <v>251</v>
      </c>
      <c r="D368" s="100" t="s">
        <v>1079</v>
      </c>
      <c r="E368" s="100">
        <v>11</v>
      </c>
      <c r="F368" s="100" t="s">
        <v>1056</v>
      </c>
      <c r="G368" s="101">
        <v>36.4</v>
      </c>
      <c r="H368" s="101">
        <v>40040</v>
      </c>
      <c r="I368" s="100" t="s">
        <v>1462</v>
      </c>
      <c r="J368" s="101">
        <v>0</v>
      </c>
      <c r="K368" s="101">
        <v>0</v>
      </c>
      <c r="L368" s="100" t="s">
        <v>465</v>
      </c>
      <c r="M368" s="100">
        <v>40032.629999999997</v>
      </c>
      <c r="N368" s="121">
        <v>9.2499999999999999E-2</v>
      </c>
    </row>
    <row r="369" spans="3:14" x14ac:dyDescent="0.25">
      <c r="C369" s="99">
        <v>252</v>
      </c>
      <c r="D369" s="100" t="s">
        <v>1067</v>
      </c>
      <c r="E369" s="100">
        <v>112</v>
      </c>
      <c r="F369" s="100" t="s">
        <v>1064</v>
      </c>
      <c r="G369" s="101">
        <v>3.8</v>
      </c>
      <c r="H369" s="101">
        <v>42560</v>
      </c>
      <c r="I369" s="100" t="s">
        <v>1462</v>
      </c>
      <c r="J369" s="101">
        <v>0</v>
      </c>
      <c r="K369" s="101">
        <v>0</v>
      </c>
      <c r="L369" s="100" t="s">
        <v>465</v>
      </c>
      <c r="M369" s="100">
        <v>42484.959999999999</v>
      </c>
      <c r="N369" s="121">
        <v>0.1048</v>
      </c>
    </row>
    <row r="370" spans="3:14" x14ac:dyDescent="0.25">
      <c r="C370" s="99">
        <v>253</v>
      </c>
      <c r="D370" s="100" t="s">
        <v>1072</v>
      </c>
      <c r="E370" s="100">
        <v>17</v>
      </c>
      <c r="F370" s="100" t="s">
        <v>1073</v>
      </c>
      <c r="G370" s="101">
        <v>25</v>
      </c>
      <c r="H370" s="101">
        <v>42500</v>
      </c>
      <c r="I370" s="100" t="s">
        <v>1463</v>
      </c>
      <c r="J370" s="101">
        <v>0</v>
      </c>
      <c r="K370" s="101">
        <v>0</v>
      </c>
      <c r="L370" s="100" t="s">
        <v>465</v>
      </c>
      <c r="M370" s="100">
        <v>42488.61</v>
      </c>
      <c r="N370" s="121">
        <v>0.10639999999999999</v>
      </c>
    </row>
    <row r="371" spans="3:14" x14ac:dyDescent="0.25">
      <c r="C371" s="99">
        <v>254</v>
      </c>
      <c r="D371" s="100" t="s">
        <v>1069</v>
      </c>
      <c r="E371" s="100">
        <v>83</v>
      </c>
      <c r="F371" s="100" t="s">
        <v>1074</v>
      </c>
      <c r="G371" s="101">
        <v>5.15</v>
      </c>
      <c r="H371" s="101">
        <v>42745</v>
      </c>
      <c r="I371" s="100" t="s">
        <v>1463</v>
      </c>
      <c r="J371" s="101">
        <v>0</v>
      </c>
      <c r="K371" s="101">
        <v>0</v>
      </c>
      <c r="L371" s="100" t="s">
        <v>465</v>
      </c>
      <c r="M371" s="100">
        <v>42689.39</v>
      </c>
      <c r="N371" s="121">
        <v>9.8199999999999996E-2</v>
      </c>
    </row>
    <row r="372" spans="3:14" x14ac:dyDescent="0.25">
      <c r="C372" s="99">
        <v>255</v>
      </c>
      <c r="D372" s="100" t="s">
        <v>1072</v>
      </c>
      <c r="E372" s="100">
        <v>17</v>
      </c>
      <c r="F372" s="100" t="s">
        <v>1464</v>
      </c>
      <c r="G372" s="101">
        <v>24.2</v>
      </c>
      <c r="H372" s="101">
        <v>41140</v>
      </c>
      <c r="I372" s="100" t="s">
        <v>1463</v>
      </c>
      <c r="J372" s="101">
        <v>0</v>
      </c>
      <c r="K372" s="101">
        <v>0</v>
      </c>
      <c r="L372" s="100" t="s">
        <v>465</v>
      </c>
      <c r="M372" s="100">
        <v>41128.61</v>
      </c>
      <c r="N372" s="121">
        <v>9.8400000000000001E-2</v>
      </c>
    </row>
    <row r="373" spans="3:14" ht="15.75" thickBot="1" x14ac:dyDescent="0.3">
      <c r="C373" s="104">
        <v>256</v>
      </c>
      <c r="D373" s="105" t="s">
        <v>1069</v>
      </c>
      <c r="E373" s="105">
        <v>59</v>
      </c>
      <c r="F373" s="105" t="s">
        <v>1075</v>
      </c>
      <c r="G373" s="106">
        <v>6.85</v>
      </c>
      <c r="H373" s="106">
        <v>40415</v>
      </c>
      <c r="I373" s="105" t="s">
        <v>1463</v>
      </c>
      <c r="J373" s="106">
        <v>0</v>
      </c>
      <c r="K373" s="106">
        <v>0</v>
      </c>
      <c r="L373" s="105" t="s">
        <v>465</v>
      </c>
      <c r="M373" s="105">
        <v>40375.47</v>
      </c>
      <c r="N373" s="122">
        <v>0.123</v>
      </c>
    </row>
    <row r="374" spans="3:14" x14ac:dyDescent="0.25">
      <c r="C374" s="94">
        <v>257</v>
      </c>
      <c r="D374" s="95" t="s">
        <v>1069</v>
      </c>
      <c r="E374" s="95">
        <v>67</v>
      </c>
      <c r="F374" s="95" t="s">
        <v>1070</v>
      </c>
      <c r="G374" s="96">
        <v>6.35</v>
      </c>
      <c r="H374" s="96">
        <v>42500.11</v>
      </c>
      <c r="I374" s="95" t="s">
        <v>1165</v>
      </c>
      <c r="J374" s="96">
        <v>0.05</v>
      </c>
      <c r="K374" s="96">
        <v>379.89</v>
      </c>
      <c r="L374" s="95" t="s">
        <v>1166</v>
      </c>
      <c r="M374" s="95">
        <v>42120.22</v>
      </c>
      <c r="N374" s="120">
        <v>0.1144</v>
      </c>
    </row>
    <row r="375" spans="3:14" x14ac:dyDescent="0.25">
      <c r="C375" s="99">
        <v>258</v>
      </c>
      <c r="D375" s="100" t="s">
        <v>1067</v>
      </c>
      <c r="E375" s="100">
        <v>103</v>
      </c>
      <c r="F375" s="100" t="s">
        <v>1087</v>
      </c>
      <c r="G375" s="101">
        <v>4.25</v>
      </c>
      <c r="H375" s="101">
        <v>43705.99</v>
      </c>
      <c r="I375" s="100" t="s">
        <v>1165</v>
      </c>
      <c r="J375" s="101">
        <v>0.1</v>
      </c>
      <c r="K375" s="101">
        <v>1099.01</v>
      </c>
      <c r="L375" s="100" t="s">
        <v>1166</v>
      </c>
      <c r="M375" s="100">
        <v>42606.98</v>
      </c>
      <c r="N375" s="121">
        <v>0.10349999999999999</v>
      </c>
    </row>
    <row r="376" spans="3:14" x14ac:dyDescent="0.25">
      <c r="C376" s="99">
        <v>259</v>
      </c>
      <c r="D376" s="100" t="s">
        <v>1072</v>
      </c>
      <c r="E376" s="100">
        <v>16</v>
      </c>
      <c r="F376" s="100" t="s">
        <v>1098</v>
      </c>
      <c r="G376" s="101">
        <v>27.3</v>
      </c>
      <c r="H376" s="101">
        <v>43669.279999999999</v>
      </c>
      <c r="I376" s="100" t="s">
        <v>1165</v>
      </c>
      <c r="J376" s="101">
        <v>0.35</v>
      </c>
      <c r="K376" s="101">
        <v>570.72</v>
      </c>
      <c r="L376" s="100" t="s">
        <v>1166</v>
      </c>
      <c r="M376" s="100">
        <v>43098.559999999998</v>
      </c>
      <c r="N376" s="121">
        <v>9.9900000000000003E-2</v>
      </c>
    </row>
    <row r="377" spans="3:14" x14ac:dyDescent="0.25">
      <c r="C377" s="99">
        <v>260</v>
      </c>
      <c r="D377" s="100" t="s">
        <v>1067</v>
      </c>
      <c r="E377" s="100">
        <v>103</v>
      </c>
      <c r="F377" s="100" t="s">
        <v>1092</v>
      </c>
      <c r="G377" s="101">
        <v>4.3</v>
      </c>
      <c r="H377" s="101">
        <v>44220.99</v>
      </c>
      <c r="I377" s="100" t="s">
        <v>1165</v>
      </c>
      <c r="J377" s="101">
        <v>0.12</v>
      </c>
      <c r="K377" s="101">
        <v>1305.01</v>
      </c>
      <c r="L377" s="100" t="s">
        <v>1166</v>
      </c>
      <c r="M377" s="100">
        <v>42915.98</v>
      </c>
      <c r="N377" s="121">
        <v>9.9299999999999999E-2</v>
      </c>
    </row>
    <row r="378" spans="3:14" x14ac:dyDescent="0.25">
      <c r="C378" s="99">
        <v>261</v>
      </c>
      <c r="D378" s="100" t="s">
        <v>1067</v>
      </c>
      <c r="E378" s="100">
        <v>107</v>
      </c>
      <c r="F378" s="100" t="s">
        <v>1094</v>
      </c>
      <c r="G378" s="101">
        <v>4.05</v>
      </c>
      <c r="H378" s="101">
        <v>43263.31</v>
      </c>
      <c r="I378" s="100" t="s">
        <v>1165</v>
      </c>
      <c r="J378" s="101">
        <v>0.11</v>
      </c>
      <c r="K378" s="101">
        <v>1248.69</v>
      </c>
      <c r="L378" s="100" t="s">
        <v>1166</v>
      </c>
      <c r="M378" s="100">
        <v>42014.62</v>
      </c>
      <c r="N378" s="121">
        <v>9.5899999999999999E-2</v>
      </c>
    </row>
    <row r="379" spans="3:14" x14ac:dyDescent="0.25">
      <c r="C379" s="99">
        <v>262</v>
      </c>
      <c r="D379" s="100" t="s">
        <v>1069</v>
      </c>
      <c r="E379" s="100">
        <v>77</v>
      </c>
      <c r="F379" s="100" t="s">
        <v>1089</v>
      </c>
      <c r="G379" s="101">
        <v>5.55</v>
      </c>
      <c r="H379" s="101">
        <v>42683.41</v>
      </c>
      <c r="I379" s="100" t="s">
        <v>1165</v>
      </c>
      <c r="J379" s="101">
        <v>0.06</v>
      </c>
      <c r="K379" s="101">
        <v>513.59</v>
      </c>
      <c r="L379" s="100" t="s">
        <v>1166</v>
      </c>
      <c r="M379" s="100">
        <v>42169.82</v>
      </c>
      <c r="N379" s="121">
        <v>9.1399999999999995E-2</v>
      </c>
    </row>
    <row r="380" spans="3:14" x14ac:dyDescent="0.25">
      <c r="C380" s="99">
        <v>263</v>
      </c>
      <c r="D380" s="100" t="s">
        <v>1067</v>
      </c>
      <c r="E380" s="100">
        <v>117</v>
      </c>
      <c r="F380" s="100" t="s">
        <v>1091</v>
      </c>
      <c r="G380" s="101">
        <v>3.6</v>
      </c>
      <c r="H380" s="101">
        <v>42041.61</v>
      </c>
      <c r="I380" s="100" t="s">
        <v>1165</v>
      </c>
      <c r="J380" s="101">
        <v>0.1</v>
      </c>
      <c r="K380" s="101">
        <v>1248.3900000000001</v>
      </c>
      <c r="L380" s="100" t="s">
        <v>1166</v>
      </c>
      <c r="M380" s="100">
        <v>40793.22</v>
      </c>
      <c r="N380" s="121">
        <v>8.9499999999999996E-2</v>
      </c>
    </row>
    <row r="381" spans="3:14" x14ac:dyDescent="0.25">
      <c r="C381" s="99">
        <v>264</v>
      </c>
      <c r="D381" s="100" t="s">
        <v>1069</v>
      </c>
      <c r="E381" s="100">
        <v>50</v>
      </c>
      <c r="F381" s="100" t="s">
        <v>1086</v>
      </c>
      <c r="G381" s="101">
        <v>8.5500000000000007</v>
      </c>
      <c r="H381" s="101">
        <v>42716.5</v>
      </c>
      <c r="I381" s="100" t="s">
        <v>1165</v>
      </c>
      <c r="J381" s="101">
        <v>0.14000000000000001</v>
      </c>
      <c r="K381" s="101">
        <v>733.5</v>
      </c>
      <c r="L381" s="100" t="s">
        <v>1166</v>
      </c>
      <c r="M381" s="100">
        <v>41983</v>
      </c>
      <c r="N381" s="121">
        <v>0.1293</v>
      </c>
    </row>
    <row r="382" spans="3:14" x14ac:dyDescent="0.25">
      <c r="C382" s="99">
        <v>265</v>
      </c>
      <c r="D382" s="100" t="s">
        <v>1069</v>
      </c>
      <c r="E382" s="100">
        <v>61</v>
      </c>
      <c r="F382" s="100" t="s">
        <v>1102</v>
      </c>
      <c r="G382" s="101">
        <v>7.05</v>
      </c>
      <c r="H382" s="101">
        <v>42964.13</v>
      </c>
      <c r="I382" s="100" t="s">
        <v>1165</v>
      </c>
      <c r="J382" s="101">
        <v>0.15</v>
      </c>
      <c r="K382" s="101">
        <v>955.87</v>
      </c>
      <c r="L382" s="100" t="s">
        <v>1166</v>
      </c>
      <c r="M382" s="100">
        <v>42008.26</v>
      </c>
      <c r="N382" s="121">
        <v>0.1103</v>
      </c>
    </row>
    <row r="383" spans="3:14" x14ac:dyDescent="0.25">
      <c r="C383" s="99">
        <v>266</v>
      </c>
      <c r="D383" s="100" t="s">
        <v>1069</v>
      </c>
      <c r="E383" s="100">
        <v>55</v>
      </c>
      <c r="F383" s="100" t="s">
        <v>1082</v>
      </c>
      <c r="G383" s="101">
        <v>7.6</v>
      </c>
      <c r="H383" s="101">
        <v>41763.15</v>
      </c>
      <c r="I383" s="100" t="s">
        <v>1165</v>
      </c>
      <c r="J383" s="101">
        <v>0.1</v>
      </c>
      <c r="K383" s="101">
        <v>586.85</v>
      </c>
      <c r="L383" s="100" t="s">
        <v>1166</v>
      </c>
      <c r="M383" s="100">
        <v>41176.300000000003</v>
      </c>
      <c r="N383" s="121">
        <v>0.1153</v>
      </c>
    </row>
    <row r="384" spans="3:14" x14ac:dyDescent="0.25">
      <c r="C384" s="99">
        <v>267</v>
      </c>
      <c r="D384" s="100" t="s">
        <v>1067</v>
      </c>
      <c r="E384" s="100">
        <v>92</v>
      </c>
      <c r="F384" s="100" t="s">
        <v>1110</v>
      </c>
      <c r="G384" s="101">
        <v>4.75</v>
      </c>
      <c r="H384" s="101">
        <v>43638.36</v>
      </c>
      <c r="I384" s="100" t="s">
        <v>1165</v>
      </c>
      <c r="J384" s="101">
        <v>0.62</v>
      </c>
      <c r="K384" s="101">
        <v>5765.64</v>
      </c>
      <c r="L384" s="100" t="s">
        <v>1166</v>
      </c>
      <c r="M384" s="100">
        <v>37872.720000000001</v>
      </c>
      <c r="N384" s="121">
        <v>9.5799999999999996E-2</v>
      </c>
    </row>
    <row r="385" spans="3:14" x14ac:dyDescent="0.25">
      <c r="C385" s="99">
        <v>268</v>
      </c>
      <c r="D385" s="100" t="s">
        <v>1067</v>
      </c>
      <c r="E385" s="100">
        <v>94</v>
      </c>
      <c r="F385" s="100" t="s">
        <v>1068</v>
      </c>
      <c r="G385" s="101">
        <v>4.8</v>
      </c>
      <c r="H385" s="101">
        <v>45057.02</v>
      </c>
      <c r="I385" s="100" t="s">
        <v>1165</v>
      </c>
      <c r="J385" s="101">
        <v>0.69</v>
      </c>
      <c r="K385" s="101">
        <v>6548.98</v>
      </c>
      <c r="L385" s="100" t="s">
        <v>1166</v>
      </c>
      <c r="M385" s="100">
        <v>38508.04</v>
      </c>
      <c r="N385" s="121">
        <v>9.3200000000000005E-2</v>
      </c>
    </row>
    <row r="386" spans="3:14" x14ac:dyDescent="0.25">
      <c r="C386" s="99">
        <v>269</v>
      </c>
      <c r="D386" s="100" t="s">
        <v>1079</v>
      </c>
      <c r="E386" s="100">
        <v>10</v>
      </c>
      <c r="F386" s="100" t="s">
        <v>1105</v>
      </c>
      <c r="G386" s="101">
        <v>44.9</v>
      </c>
      <c r="H386" s="101">
        <v>44893.3</v>
      </c>
      <c r="I386" s="100" t="s">
        <v>1165</v>
      </c>
      <c r="J386" s="101">
        <v>7.1</v>
      </c>
      <c r="K386" s="101">
        <v>7106.7</v>
      </c>
      <c r="L386" s="100" t="s">
        <v>1166</v>
      </c>
      <c r="M386" s="100">
        <v>37786.6</v>
      </c>
      <c r="N386" s="121">
        <v>7.7200000000000005E-2</v>
      </c>
    </row>
    <row r="387" spans="3:14" x14ac:dyDescent="0.25">
      <c r="C387" s="99">
        <v>270</v>
      </c>
      <c r="D387" s="100" t="s">
        <v>1079</v>
      </c>
      <c r="E387" s="100">
        <v>10</v>
      </c>
      <c r="F387" s="100" t="s">
        <v>1071</v>
      </c>
      <c r="G387" s="101">
        <v>44</v>
      </c>
      <c r="H387" s="101">
        <v>43993.3</v>
      </c>
      <c r="I387" s="100" t="s">
        <v>1165</v>
      </c>
      <c r="J387" s="101">
        <v>6.5</v>
      </c>
      <c r="K387" s="101">
        <v>6506.7</v>
      </c>
      <c r="L387" s="100" t="s">
        <v>1166</v>
      </c>
      <c r="M387" s="100">
        <v>37486.6</v>
      </c>
      <c r="N387" s="121">
        <v>7.4999999999999997E-2</v>
      </c>
    </row>
    <row r="388" spans="3:14" x14ac:dyDescent="0.25">
      <c r="C388" s="99">
        <v>271</v>
      </c>
      <c r="D388" s="100" t="s">
        <v>1134</v>
      </c>
      <c r="E388" s="100">
        <v>87</v>
      </c>
      <c r="F388" s="100" t="s">
        <v>1106</v>
      </c>
      <c r="G388" s="101">
        <v>5.4</v>
      </c>
      <c r="H388" s="101">
        <v>46921.71</v>
      </c>
      <c r="I388" s="100" t="s">
        <v>1165</v>
      </c>
      <c r="J388" s="101">
        <v>0.8</v>
      </c>
      <c r="K388" s="101">
        <v>7018.29</v>
      </c>
      <c r="L388" s="100" t="s">
        <v>1166</v>
      </c>
      <c r="M388" s="100">
        <v>39903.42</v>
      </c>
      <c r="N388" s="121">
        <v>0.1532</v>
      </c>
    </row>
    <row r="389" spans="3:14" x14ac:dyDescent="0.25">
      <c r="C389" s="99">
        <v>272</v>
      </c>
      <c r="D389" s="100" t="s">
        <v>1079</v>
      </c>
      <c r="E389" s="100">
        <v>10</v>
      </c>
      <c r="F389" s="100" t="s">
        <v>1108</v>
      </c>
      <c r="G389" s="101">
        <v>45.2</v>
      </c>
      <c r="H389" s="101">
        <v>45193.3</v>
      </c>
      <c r="I389" s="100" t="s">
        <v>1165</v>
      </c>
      <c r="J389" s="101">
        <v>8.6999999999999993</v>
      </c>
      <c r="K389" s="101">
        <v>8706.7000000000007</v>
      </c>
      <c r="L389" s="100" t="s">
        <v>1166</v>
      </c>
      <c r="M389" s="100">
        <v>36486.6</v>
      </c>
      <c r="N389" s="121">
        <v>7.1599999999999997E-2</v>
      </c>
    </row>
    <row r="390" spans="3:14" x14ac:dyDescent="0.25">
      <c r="C390" s="99">
        <v>273</v>
      </c>
      <c r="D390" s="100" t="s">
        <v>1115</v>
      </c>
      <c r="E390" s="100">
        <v>31</v>
      </c>
      <c r="F390" s="100" t="s">
        <v>1116</v>
      </c>
      <c r="G390" s="101">
        <v>14.75</v>
      </c>
      <c r="H390" s="101">
        <v>45704.23</v>
      </c>
      <c r="I390" s="100" t="s">
        <v>1165</v>
      </c>
      <c r="J390" s="101">
        <v>3.3</v>
      </c>
      <c r="K390" s="101">
        <v>10250.77</v>
      </c>
      <c r="L390" s="100" t="s">
        <v>1166</v>
      </c>
      <c r="M390" s="100">
        <v>35453.46</v>
      </c>
      <c r="N390" s="121">
        <v>7.1499999999999994E-2</v>
      </c>
    </row>
    <row r="391" spans="3:14" x14ac:dyDescent="0.25">
      <c r="C391" s="99">
        <v>274</v>
      </c>
      <c r="D391" s="100" t="s">
        <v>1112</v>
      </c>
      <c r="E391" s="100">
        <v>33</v>
      </c>
      <c r="F391" s="100" t="s">
        <v>1077</v>
      </c>
      <c r="G391" s="101">
        <v>14.4</v>
      </c>
      <c r="H391" s="101">
        <v>47497.89</v>
      </c>
      <c r="I391" s="100" t="s">
        <v>1165</v>
      </c>
      <c r="J391" s="101">
        <v>0.73</v>
      </c>
      <c r="K391" s="101">
        <v>2431.11</v>
      </c>
      <c r="L391" s="100" t="s">
        <v>1166</v>
      </c>
      <c r="M391" s="100">
        <v>45066.78</v>
      </c>
      <c r="N391" s="121">
        <v>8.2299999999999998E-2</v>
      </c>
    </row>
    <row r="392" spans="3:14" x14ac:dyDescent="0.25">
      <c r="C392" s="99">
        <v>275</v>
      </c>
      <c r="D392" s="100" t="s">
        <v>1112</v>
      </c>
      <c r="E392" s="100">
        <v>33</v>
      </c>
      <c r="F392" s="100" t="s">
        <v>1081</v>
      </c>
      <c r="G392" s="101">
        <v>14.45</v>
      </c>
      <c r="H392" s="101">
        <v>47662.89</v>
      </c>
      <c r="I392" s="100" t="s">
        <v>1165</v>
      </c>
      <c r="J392" s="101">
        <v>0.63</v>
      </c>
      <c r="K392" s="101">
        <v>2101.11</v>
      </c>
      <c r="L392" s="100" t="s">
        <v>1166</v>
      </c>
      <c r="M392" s="100">
        <v>45561.78</v>
      </c>
      <c r="N392" s="121">
        <v>8.1299999999999997E-2</v>
      </c>
    </row>
    <row r="393" spans="3:14" x14ac:dyDescent="0.25">
      <c r="C393" s="99">
        <v>276</v>
      </c>
      <c r="D393" s="100" t="s">
        <v>993</v>
      </c>
      <c r="E393" s="100">
        <v>35</v>
      </c>
      <c r="F393" s="100" t="s">
        <v>1085</v>
      </c>
      <c r="G393" s="101">
        <v>13.6</v>
      </c>
      <c r="H393" s="101">
        <v>47576.55</v>
      </c>
      <c r="I393" s="100" t="s">
        <v>1165</v>
      </c>
      <c r="J393" s="101">
        <v>1.75</v>
      </c>
      <c r="K393" s="101">
        <v>6148.45</v>
      </c>
      <c r="L393" s="100" t="s">
        <v>1166</v>
      </c>
      <c r="M393" s="100">
        <v>41428.1</v>
      </c>
      <c r="N393" s="121">
        <v>0.10299999999999999</v>
      </c>
    </row>
    <row r="394" spans="3:14" x14ac:dyDescent="0.25">
      <c r="C394" s="99">
        <v>277</v>
      </c>
      <c r="D394" s="100" t="s">
        <v>993</v>
      </c>
      <c r="E394" s="100">
        <v>34</v>
      </c>
      <c r="F394" s="100" t="s">
        <v>1119</v>
      </c>
      <c r="G394" s="101">
        <v>14.15</v>
      </c>
      <c r="H394" s="101">
        <v>48087.22</v>
      </c>
      <c r="I394" s="100" t="s">
        <v>1165</v>
      </c>
      <c r="J394" s="101">
        <v>2.04</v>
      </c>
      <c r="K394" s="101">
        <v>6958.78</v>
      </c>
      <c r="L394" s="100" t="s">
        <v>1166</v>
      </c>
      <c r="M394" s="100">
        <v>41128.44</v>
      </c>
      <c r="N394" s="121">
        <v>0.1009</v>
      </c>
    </row>
    <row r="395" spans="3:14" x14ac:dyDescent="0.25">
      <c r="C395" s="99">
        <v>278</v>
      </c>
      <c r="D395" s="100" t="s">
        <v>1465</v>
      </c>
      <c r="E395" s="100">
        <v>23</v>
      </c>
      <c r="F395" s="100" t="s">
        <v>1088</v>
      </c>
      <c r="G395" s="101">
        <v>20.9</v>
      </c>
      <c r="H395" s="101">
        <v>48054.59</v>
      </c>
      <c r="I395" s="100" t="s">
        <v>1165</v>
      </c>
      <c r="J395" s="101">
        <v>1.5</v>
      </c>
      <c r="K395" s="101">
        <v>3465.41</v>
      </c>
      <c r="L395" s="100" t="s">
        <v>1166</v>
      </c>
      <c r="M395" s="100">
        <v>44589.18</v>
      </c>
      <c r="N395" s="121">
        <v>8.8200000000000001E-2</v>
      </c>
    </row>
    <row r="396" spans="3:14" x14ac:dyDescent="0.25">
      <c r="C396" s="99">
        <v>279</v>
      </c>
      <c r="D396" s="100" t="s">
        <v>1112</v>
      </c>
      <c r="E396" s="100">
        <v>33</v>
      </c>
      <c r="F396" s="100" t="s">
        <v>1093</v>
      </c>
      <c r="G396" s="101">
        <v>14.95</v>
      </c>
      <c r="H396" s="101">
        <v>49312.89</v>
      </c>
      <c r="I396" s="100" t="s">
        <v>1165</v>
      </c>
      <c r="J396" s="101">
        <v>0.82</v>
      </c>
      <c r="K396" s="101">
        <v>2728.11</v>
      </c>
      <c r="L396" s="100" t="s">
        <v>1166</v>
      </c>
      <c r="M396" s="100">
        <v>46584.78</v>
      </c>
      <c r="N396" s="121">
        <v>8.1199999999999994E-2</v>
      </c>
    </row>
    <row r="397" spans="3:14" x14ac:dyDescent="0.25">
      <c r="C397" s="99">
        <v>280</v>
      </c>
      <c r="D397" s="100" t="s">
        <v>943</v>
      </c>
      <c r="E397" s="100">
        <v>17</v>
      </c>
      <c r="F397" s="100" t="s">
        <v>1096</v>
      </c>
      <c r="G397" s="101">
        <v>29.4</v>
      </c>
      <c r="H397" s="101">
        <v>49968.61</v>
      </c>
      <c r="I397" s="100" t="s">
        <v>1165</v>
      </c>
      <c r="J397" s="101">
        <v>2.27</v>
      </c>
      <c r="K397" s="101">
        <v>3870.39</v>
      </c>
      <c r="L397" s="100" t="s">
        <v>1166</v>
      </c>
      <c r="M397" s="100">
        <v>46098.22</v>
      </c>
      <c r="N397" s="121">
        <v>0.10440000000000001</v>
      </c>
    </row>
    <row r="398" spans="3:14" x14ac:dyDescent="0.25">
      <c r="C398" s="99">
        <v>281</v>
      </c>
      <c r="D398" s="100" t="s">
        <v>1134</v>
      </c>
      <c r="E398" s="100">
        <v>109</v>
      </c>
      <c r="F398" s="100" t="s">
        <v>1104</v>
      </c>
      <c r="G398" s="101">
        <v>4.8</v>
      </c>
      <c r="H398" s="101">
        <v>52246.97</v>
      </c>
      <c r="I398" s="100" t="s">
        <v>1165</v>
      </c>
      <c r="J398" s="101">
        <v>0.86</v>
      </c>
      <c r="K398" s="101">
        <v>9447.0300000000007</v>
      </c>
      <c r="L398" s="100" t="s">
        <v>1166</v>
      </c>
      <c r="M398" s="100">
        <v>42799.94</v>
      </c>
      <c r="N398" s="121">
        <v>0.12690000000000001</v>
      </c>
    </row>
    <row r="399" spans="3:14" x14ac:dyDescent="0.25">
      <c r="C399" s="99">
        <v>282</v>
      </c>
      <c r="D399" s="100" t="s">
        <v>1134</v>
      </c>
      <c r="E399" s="100">
        <v>102</v>
      </c>
      <c r="F399" s="100" t="s">
        <v>1149</v>
      </c>
      <c r="G399" s="101">
        <v>5.15</v>
      </c>
      <c r="H399" s="101">
        <v>52461.66</v>
      </c>
      <c r="I399" s="100" t="s">
        <v>1165</v>
      </c>
      <c r="J399" s="101">
        <v>1.03</v>
      </c>
      <c r="K399" s="101">
        <v>10574.34</v>
      </c>
      <c r="L399" s="100" t="s">
        <v>1166</v>
      </c>
      <c r="M399" s="100">
        <v>41887.32</v>
      </c>
      <c r="N399" s="121">
        <v>0.1246</v>
      </c>
    </row>
    <row r="400" spans="3:14" x14ac:dyDescent="0.25">
      <c r="C400" s="99">
        <v>283</v>
      </c>
      <c r="D400" s="100" t="s">
        <v>1134</v>
      </c>
      <c r="E400" s="100">
        <v>114</v>
      </c>
      <c r="F400" s="100" t="s">
        <v>1107</v>
      </c>
      <c r="G400" s="101">
        <v>4.5999999999999996</v>
      </c>
      <c r="H400" s="101">
        <v>52363.62</v>
      </c>
      <c r="I400" s="100" t="s">
        <v>1165</v>
      </c>
      <c r="J400" s="101">
        <v>0.98</v>
      </c>
      <c r="K400" s="101">
        <v>11248.38</v>
      </c>
      <c r="L400" s="100" t="s">
        <v>1166</v>
      </c>
      <c r="M400" s="100">
        <v>41115.24</v>
      </c>
      <c r="N400" s="121">
        <v>0.1129</v>
      </c>
    </row>
    <row r="401" spans="3:14" x14ac:dyDescent="0.25">
      <c r="C401" s="99">
        <v>284</v>
      </c>
      <c r="D401" s="100" t="s">
        <v>943</v>
      </c>
      <c r="E401" s="100">
        <v>15</v>
      </c>
      <c r="F401" s="100" t="s">
        <v>1109</v>
      </c>
      <c r="G401" s="101">
        <v>34.5</v>
      </c>
      <c r="H401" s="101">
        <v>51739.95</v>
      </c>
      <c r="I401" s="100" t="s">
        <v>1165</v>
      </c>
      <c r="J401" s="101">
        <v>3.25</v>
      </c>
      <c r="K401" s="101">
        <v>4885.05</v>
      </c>
      <c r="L401" s="100" t="s">
        <v>1166</v>
      </c>
      <c r="M401" s="100">
        <v>46854.9</v>
      </c>
      <c r="N401" s="121">
        <v>0.10780000000000001</v>
      </c>
    </row>
    <row r="402" spans="3:14" x14ac:dyDescent="0.25">
      <c r="C402" s="99">
        <v>285</v>
      </c>
      <c r="D402" s="100" t="s">
        <v>1121</v>
      </c>
      <c r="E402" s="100">
        <v>18</v>
      </c>
      <c r="F402" s="100" t="s">
        <v>1125</v>
      </c>
      <c r="G402" s="101">
        <v>28.65</v>
      </c>
      <c r="H402" s="101">
        <v>51557.94</v>
      </c>
      <c r="I402" s="100" t="s">
        <v>1165</v>
      </c>
      <c r="J402" s="101">
        <v>3.4</v>
      </c>
      <c r="K402" s="101">
        <v>6132.06</v>
      </c>
      <c r="L402" s="100" t="s">
        <v>1166</v>
      </c>
      <c r="M402" s="100">
        <v>45425.88</v>
      </c>
      <c r="N402" s="121">
        <v>0.1149</v>
      </c>
    </row>
    <row r="403" spans="3:14" x14ac:dyDescent="0.25">
      <c r="C403" s="99">
        <v>286</v>
      </c>
      <c r="D403" s="100" t="s">
        <v>1134</v>
      </c>
      <c r="E403" s="100">
        <v>131</v>
      </c>
      <c r="F403" s="100" t="s">
        <v>1126</v>
      </c>
      <c r="G403" s="101">
        <v>4.05</v>
      </c>
      <c r="H403" s="101">
        <v>52967.23</v>
      </c>
      <c r="I403" s="100" t="s">
        <v>1165</v>
      </c>
      <c r="J403" s="101">
        <v>0.35</v>
      </c>
      <c r="K403" s="101">
        <v>4672.7700000000004</v>
      </c>
      <c r="L403" s="100" t="s">
        <v>1166</v>
      </c>
      <c r="M403" s="100">
        <v>48294.46</v>
      </c>
      <c r="N403" s="121">
        <v>0.1119</v>
      </c>
    </row>
    <row r="404" spans="3:14" x14ac:dyDescent="0.25">
      <c r="C404" s="99">
        <v>287</v>
      </c>
      <c r="D404" s="100" t="s">
        <v>943</v>
      </c>
      <c r="E404" s="100">
        <v>15</v>
      </c>
      <c r="F404" s="100" t="s">
        <v>1146</v>
      </c>
      <c r="G404" s="101">
        <v>33.6</v>
      </c>
      <c r="H404" s="101">
        <v>50389.95</v>
      </c>
      <c r="I404" s="100" t="s">
        <v>1165</v>
      </c>
      <c r="J404" s="101">
        <v>2.85</v>
      </c>
      <c r="K404" s="101">
        <v>4285.05</v>
      </c>
      <c r="L404" s="100" t="s">
        <v>1166</v>
      </c>
      <c r="M404" s="100">
        <v>46104.9</v>
      </c>
      <c r="N404" s="121">
        <v>0.1099</v>
      </c>
    </row>
    <row r="405" spans="3:14" x14ac:dyDescent="0.25">
      <c r="C405" s="99">
        <v>288</v>
      </c>
      <c r="D405" s="100" t="s">
        <v>1121</v>
      </c>
      <c r="E405" s="100">
        <v>21</v>
      </c>
      <c r="F405" s="100" t="s">
        <v>1127</v>
      </c>
      <c r="G405" s="101">
        <v>24.1</v>
      </c>
      <c r="H405" s="101">
        <v>50595.93</v>
      </c>
      <c r="I405" s="100" t="s">
        <v>1165</v>
      </c>
      <c r="J405" s="101">
        <v>2.11</v>
      </c>
      <c r="K405" s="101">
        <v>4445.07</v>
      </c>
      <c r="L405" s="100" t="s">
        <v>1166</v>
      </c>
      <c r="M405" s="100">
        <v>46150.86</v>
      </c>
      <c r="N405" s="121">
        <v>0.1</v>
      </c>
    </row>
    <row r="406" spans="3:14" x14ac:dyDescent="0.25">
      <c r="C406" s="99">
        <v>289</v>
      </c>
      <c r="D406" s="100" t="s">
        <v>1121</v>
      </c>
      <c r="E406" s="100">
        <v>21</v>
      </c>
      <c r="F406" s="100" t="s">
        <v>1122</v>
      </c>
      <c r="G406" s="101">
        <v>24.3</v>
      </c>
      <c r="H406" s="101">
        <v>51015.93</v>
      </c>
      <c r="I406" s="100" t="s">
        <v>1165</v>
      </c>
      <c r="J406" s="101">
        <v>2.73</v>
      </c>
      <c r="K406" s="101">
        <v>5747.07</v>
      </c>
      <c r="L406" s="100" t="s">
        <v>1166</v>
      </c>
      <c r="M406" s="100">
        <v>45268.86</v>
      </c>
      <c r="N406" s="121">
        <v>0.1028</v>
      </c>
    </row>
    <row r="407" spans="3:14" x14ac:dyDescent="0.25">
      <c r="C407" s="99">
        <v>290</v>
      </c>
      <c r="D407" s="100" t="s">
        <v>943</v>
      </c>
      <c r="E407" s="100">
        <v>14</v>
      </c>
      <c r="F407" s="100" t="s">
        <v>1111</v>
      </c>
      <c r="G407" s="101">
        <v>36.5</v>
      </c>
      <c r="H407" s="101">
        <v>51090.62</v>
      </c>
      <c r="I407" s="100" t="s">
        <v>1165</v>
      </c>
      <c r="J407" s="101">
        <v>3.75</v>
      </c>
      <c r="K407" s="101">
        <v>5259.38</v>
      </c>
      <c r="L407" s="100" t="s">
        <v>1166</v>
      </c>
      <c r="M407" s="100">
        <v>45831.24</v>
      </c>
      <c r="N407" s="121">
        <v>0.10929999999999999</v>
      </c>
    </row>
    <row r="408" spans="3:14" x14ac:dyDescent="0.25">
      <c r="C408" s="99">
        <v>291</v>
      </c>
      <c r="D408" s="100" t="s">
        <v>1134</v>
      </c>
      <c r="E408" s="100">
        <v>134</v>
      </c>
      <c r="F408" s="100" t="s">
        <v>1150</v>
      </c>
      <c r="G408" s="101">
        <v>3.95</v>
      </c>
      <c r="H408" s="101">
        <v>52840.22</v>
      </c>
      <c r="I408" s="100" t="s">
        <v>1165</v>
      </c>
      <c r="J408" s="101">
        <v>0.32</v>
      </c>
      <c r="K408" s="101">
        <v>4377.78</v>
      </c>
      <c r="L408" s="100" t="s">
        <v>1166</v>
      </c>
      <c r="M408" s="100">
        <v>48462.44</v>
      </c>
      <c r="N408" s="121">
        <v>0.1132</v>
      </c>
    </row>
    <row r="409" spans="3:14" x14ac:dyDescent="0.25">
      <c r="C409" s="99">
        <v>292</v>
      </c>
      <c r="D409" s="100" t="s">
        <v>1134</v>
      </c>
      <c r="E409" s="100">
        <v>149</v>
      </c>
      <c r="F409" s="100" t="s">
        <v>1113</v>
      </c>
      <c r="G409" s="101">
        <v>3.55</v>
      </c>
      <c r="H409" s="101">
        <v>52795.17</v>
      </c>
      <c r="I409" s="100" t="s">
        <v>1165</v>
      </c>
      <c r="J409" s="101">
        <v>0.3</v>
      </c>
      <c r="K409" s="101">
        <v>4569.83</v>
      </c>
      <c r="L409" s="100" t="s">
        <v>1166</v>
      </c>
      <c r="M409" s="100">
        <v>48225.34</v>
      </c>
      <c r="N409" s="121">
        <v>0.1045</v>
      </c>
    </row>
    <row r="410" spans="3:14" x14ac:dyDescent="0.25">
      <c r="C410" s="99">
        <v>293</v>
      </c>
      <c r="D410" s="100" t="s">
        <v>1134</v>
      </c>
      <c r="E410" s="100">
        <v>144</v>
      </c>
      <c r="F410" s="100" t="s">
        <v>1130</v>
      </c>
      <c r="G410" s="101">
        <v>3.65</v>
      </c>
      <c r="H410" s="101">
        <v>52463.519999999997</v>
      </c>
      <c r="I410" s="100" t="s">
        <v>1165</v>
      </c>
      <c r="J410" s="101">
        <v>0.71</v>
      </c>
      <c r="K410" s="101">
        <v>10320.48</v>
      </c>
      <c r="L410" s="100" t="s">
        <v>1166</v>
      </c>
      <c r="M410" s="100">
        <v>42143.040000000001</v>
      </c>
      <c r="N410" s="121">
        <v>0.10100000000000001</v>
      </c>
    </row>
    <row r="411" spans="3:14" x14ac:dyDescent="0.25">
      <c r="C411" s="99">
        <v>294</v>
      </c>
      <c r="D411" s="100" t="s">
        <v>943</v>
      </c>
      <c r="E411" s="100">
        <v>18</v>
      </c>
      <c r="F411" s="100" t="s">
        <v>1114</v>
      </c>
      <c r="G411" s="101">
        <v>29.7</v>
      </c>
      <c r="H411" s="101">
        <v>53447.94</v>
      </c>
      <c r="I411" s="100" t="s">
        <v>1165</v>
      </c>
      <c r="J411" s="101">
        <v>1.76</v>
      </c>
      <c r="K411" s="101">
        <v>3180.06</v>
      </c>
      <c r="L411" s="100" t="s">
        <v>1166</v>
      </c>
      <c r="M411" s="100">
        <v>50267.88</v>
      </c>
      <c r="N411" s="121">
        <v>9.8100000000000007E-2</v>
      </c>
    </row>
    <row r="412" spans="3:14" x14ac:dyDescent="0.25">
      <c r="C412" s="99">
        <v>295</v>
      </c>
      <c r="D412" s="100" t="s">
        <v>930</v>
      </c>
      <c r="E412" s="100">
        <v>77</v>
      </c>
      <c r="F412" s="100" t="s">
        <v>1466</v>
      </c>
      <c r="G412" s="101">
        <v>6.85</v>
      </c>
      <c r="H412" s="101">
        <v>52693.41</v>
      </c>
      <c r="I412" s="100" t="s">
        <v>1165</v>
      </c>
      <c r="J412" s="101">
        <v>0.66</v>
      </c>
      <c r="K412" s="101">
        <v>5133.59</v>
      </c>
      <c r="L412" s="100" t="s">
        <v>1166</v>
      </c>
      <c r="M412" s="100">
        <v>47559.82</v>
      </c>
      <c r="N412" s="121">
        <v>0.1031</v>
      </c>
    </row>
    <row r="413" spans="3:14" x14ac:dyDescent="0.25">
      <c r="C413" s="99">
        <v>296</v>
      </c>
      <c r="D413" s="100" t="s">
        <v>930</v>
      </c>
      <c r="E413" s="100">
        <v>74</v>
      </c>
      <c r="F413" s="100" t="s">
        <v>1118</v>
      </c>
      <c r="G413" s="101">
        <v>7.3</v>
      </c>
      <c r="H413" s="101">
        <v>53970.42</v>
      </c>
      <c r="I413" s="100" t="s">
        <v>1165</v>
      </c>
      <c r="J413" s="101">
        <v>1.1499999999999999</v>
      </c>
      <c r="K413" s="101">
        <v>8559.58</v>
      </c>
      <c r="L413" s="100" t="s">
        <v>1166</v>
      </c>
      <c r="M413" s="100">
        <v>45410.84</v>
      </c>
      <c r="N413" s="121">
        <v>0.1024</v>
      </c>
    </row>
    <row r="414" spans="3:14" x14ac:dyDescent="0.25">
      <c r="C414" s="99">
        <v>297</v>
      </c>
      <c r="D414" s="100" t="s">
        <v>930</v>
      </c>
      <c r="E414" s="100">
        <v>82</v>
      </c>
      <c r="F414" s="100" t="s">
        <v>1467</v>
      </c>
      <c r="G414" s="101">
        <v>6.65</v>
      </c>
      <c r="H414" s="101">
        <v>54475.06</v>
      </c>
      <c r="I414" s="100" t="s">
        <v>1165</v>
      </c>
      <c r="J414" s="101">
        <v>1.84</v>
      </c>
      <c r="K414" s="101">
        <v>15142.94</v>
      </c>
      <c r="L414" s="100" t="s">
        <v>1166</v>
      </c>
      <c r="M414" s="100">
        <v>39332.120000000003</v>
      </c>
      <c r="N414" s="121">
        <v>7.8700000000000006E-2</v>
      </c>
    </row>
    <row r="415" spans="3:14" x14ac:dyDescent="0.25">
      <c r="C415" s="99">
        <v>298</v>
      </c>
      <c r="D415" s="100" t="s">
        <v>918</v>
      </c>
      <c r="E415" s="100">
        <v>39</v>
      </c>
      <c r="F415" s="100" t="s">
        <v>1135</v>
      </c>
      <c r="G415" s="101">
        <v>13.7</v>
      </c>
      <c r="H415" s="101">
        <v>53403.87</v>
      </c>
      <c r="I415" s="100" t="s">
        <v>1165</v>
      </c>
      <c r="J415" s="101">
        <v>1.1100000000000001</v>
      </c>
      <c r="K415" s="101">
        <v>4355.13</v>
      </c>
      <c r="L415" s="100" t="s">
        <v>1166</v>
      </c>
      <c r="M415" s="100">
        <v>49048.74</v>
      </c>
      <c r="N415" s="121">
        <v>8.6800000000000002E-2</v>
      </c>
    </row>
    <row r="416" spans="3:14" x14ac:dyDescent="0.25">
      <c r="C416" s="99">
        <v>299</v>
      </c>
      <c r="D416" s="100" t="s">
        <v>524</v>
      </c>
      <c r="E416" s="100">
        <v>46</v>
      </c>
      <c r="F416" s="100" t="s">
        <v>1120</v>
      </c>
      <c r="G416" s="101">
        <v>12</v>
      </c>
      <c r="H416" s="101">
        <v>55169.18</v>
      </c>
      <c r="I416" s="100" t="s">
        <v>1165</v>
      </c>
      <c r="J416" s="101">
        <v>2.25</v>
      </c>
      <c r="K416" s="101">
        <v>10380.82</v>
      </c>
      <c r="L416" s="100" t="s">
        <v>1166</v>
      </c>
      <c r="M416" s="100">
        <v>44788.36</v>
      </c>
      <c r="N416" s="121">
        <v>7.4999999999999997E-2</v>
      </c>
    </row>
    <row r="417" spans="3:14" x14ac:dyDescent="0.25">
      <c r="C417" s="99">
        <v>300</v>
      </c>
      <c r="D417" s="100" t="s">
        <v>1121</v>
      </c>
      <c r="E417" s="100">
        <v>27</v>
      </c>
      <c r="F417" s="100" t="s">
        <v>1300</v>
      </c>
      <c r="G417" s="101">
        <v>20.05</v>
      </c>
      <c r="H417" s="101">
        <v>54116.91</v>
      </c>
      <c r="I417" s="100" t="s">
        <v>1165</v>
      </c>
      <c r="J417" s="101">
        <v>1.78</v>
      </c>
      <c r="K417" s="101">
        <v>4824.09</v>
      </c>
      <c r="L417" s="100" t="s">
        <v>1166</v>
      </c>
      <c r="M417" s="100">
        <v>49292.82</v>
      </c>
      <c r="N417" s="121">
        <v>8.6999999999999994E-2</v>
      </c>
    </row>
    <row r="418" spans="3:14" x14ac:dyDescent="0.25">
      <c r="C418" s="99">
        <v>301</v>
      </c>
      <c r="D418" s="100" t="s">
        <v>1121</v>
      </c>
      <c r="E418" s="100">
        <v>25</v>
      </c>
      <c r="F418" s="100" t="s">
        <v>1141</v>
      </c>
      <c r="G418" s="101">
        <v>21.75</v>
      </c>
      <c r="H418" s="101">
        <v>54358.25</v>
      </c>
      <c r="I418" s="100" t="s">
        <v>1165</v>
      </c>
      <c r="J418" s="101">
        <v>7.75</v>
      </c>
      <c r="K418" s="101">
        <v>19391.75</v>
      </c>
      <c r="L418" s="100" t="s">
        <v>1166</v>
      </c>
      <c r="M418" s="100">
        <v>34966.5</v>
      </c>
      <c r="N418" s="121">
        <v>6.3600000000000004E-2</v>
      </c>
    </row>
    <row r="419" spans="3:14" x14ac:dyDescent="0.25">
      <c r="C419" s="99">
        <v>302</v>
      </c>
      <c r="D419" s="100" t="s">
        <v>1121</v>
      </c>
      <c r="E419" s="100">
        <v>29</v>
      </c>
      <c r="F419" s="100" t="s">
        <v>1139</v>
      </c>
      <c r="G419" s="101">
        <v>18.649999999999999</v>
      </c>
      <c r="H419" s="101">
        <v>54065.57</v>
      </c>
      <c r="I419" s="100" t="s">
        <v>1165</v>
      </c>
      <c r="J419" s="101">
        <v>6.4</v>
      </c>
      <c r="K419" s="101">
        <v>18579.43</v>
      </c>
      <c r="L419" s="100" t="s">
        <v>1166</v>
      </c>
      <c r="M419" s="100">
        <v>35486.14</v>
      </c>
      <c r="N419" s="121">
        <v>5.8299999999999998E-2</v>
      </c>
    </row>
    <row r="420" spans="3:14" x14ac:dyDescent="0.25">
      <c r="C420" s="99">
        <v>303</v>
      </c>
      <c r="D420" s="100" t="s">
        <v>943</v>
      </c>
      <c r="E420" s="100">
        <v>15</v>
      </c>
      <c r="F420" s="100" t="s">
        <v>1123</v>
      </c>
      <c r="G420" s="101">
        <v>36.6</v>
      </c>
      <c r="H420" s="101">
        <v>54889.95</v>
      </c>
      <c r="I420" s="100" t="s">
        <v>1165</v>
      </c>
      <c r="J420" s="101">
        <v>7.4</v>
      </c>
      <c r="K420" s="101">
        <v>11110.05</v>
      </c>
      <c r="L420" s="100" t="s">
        <v>1166</v>
      </c>
      <c r="M420" s="100">
        <v>43779.9</v>
      </c>
      <c r="N420" s="121">
        <v>0.1008</v>
      </c>
    </row>
    <row r="421" spans="3:14" x14ac:dyDescent="0.25">
      <c r="C421" s="99">
        <v>304</v>
      </c>
      <c r="D421" s="100" t="s">
        <v>943</v>
      </c>
      <c r="E421" s="100">
        <v>17</v>
      </c>
      <c r="F421" s="100" t="s">
        <v>1124</v>
      </c>
      <c r="G421" s="101">
        <v>32.799999999999997</v>
      </c>
      <c r="H421" s="101">
        <v>55748.61</v>
      </c>
      <c r="I421" s="100" t="s">
        <v>1165</v>
      </c>
      <c r="J421" s="101">
        <v>6.4</v>
      </c>
      <c r="K421" s="101">
        <v>10891.39</v>
      </c>
      <c r="L421" s="100" t="s">
        <v>1166</v>
      </c>
      <c r="M421" s="100">
        <v>44857.22</v>
      </c>
      <c r="N421" s="121">
        <v>9.4299999999999995E-2</v>
      </c>
    </row>
    <row r="422" spans="3:14" x14ac:dyDescent="0.25">
      <c r="C422" s="99">
        <v>305</v>
      </c>
      <c r="D422" s="100" t="s">
        <v>1468</v>
      </c>
      <c r="E422" s="100">
        <v>79</v>
      </c>
      <c r="F422" s="100" t="s">
        <v>1469</v>
      </c>
      <c r="G422" s="101">
        <v>7.5</v>
      </c>
      <c r="H422" s="101">
        <v>59197.07</v>
      </c>
      <c r="I422" s="100" t="s">
        <v>1165</v>
      </c>
      <c r="J422" s="101">
        <v>2.4</v>
      </c>
      <c r="K422" s="101">
        <v>19012.93</v>
      </c>
      <c r="L422" s="100" t="s">
        <v>1166</v>
      </c>
      <c r="M422" s="100">
        <v>40184.14</v>
      </c>
      <c r="N422" s="121">
        <v>5.9900000000000002E-2</v>
      </c>
    </row>
    <row r="423" spans="3:14" x14ac:dyDescent="0.25">
      <c r="C423" s="99">
        <v>306</v>
      </c>
      <c r="D423" s="100" t="s">
        <v>918</v>
      </c>
      <c r="E423" s="100">
        <v>40</v>
      </c>
      <c r="F423" s="100" t="s">
        <v>1470</v>
      </c>
      <c r="G423" s="101">
        <v>14.75</v>
      </c>
      <c r="H423" s="101">
        <v>58973.2</v>
      </c>
      <c r="I423" s="100" t="s">
        <v>1165</v>
      </c>
      <c r="J423" s="101">
        <v>2.65</v>
      </c>
      <c r="K423" s="101">
        <v>10626.8</v>
      </c>
      <c r="L423" s="100" t="s">
        <v>1166</v>
      </c>
      <c r="M423" s="100">
        <v>48346.400000000001</v>
      </c>
      <c r="N423" s="121">
        <v>8.6400000000000005E-2</v>
      </c>
    </row>
    <row r="424" spans="3:14" x14ac:dyDescent="0.25">
      <c r="C424" s="99">
        <v>307</v>
      </c>
      <c r="D424" s="100" t="s">
        <v>918</v>
      </c>
      <c r="E424" s="100">
        <v>44</v>
      </c>
      <c r="F424" s="100" t="s">
        <v>1143</v>
      </c>
      <c r="G424" s="101">
        <v>13.3</v>
      </c>
      <c r="H424" s="101">
        <v>58490.52</v>
      </c>
      <c r="I424" s="100" t="s">
        <v>1165</v>
      </c>
      <c r="J424" s="101">
        <v>2.39</v>
      </c>
      <c r="K424" s="101">
        <v>10545.48</v>
      </c>
      <c r="L424" s="100" t="s">
        <v>1166</v>
      </c>
      <c r="M424" s="100">
        <v>47945.04</v>
      </c>
      <c r="N424" s="121">
        <v>8.0799999999999997E-2</v>
      </c>
    </row>
    <row r="425" spans="3:14" x14ac:dyDescent="0.25">
      <c r="C425" s="99">
        <v>308</v>
      </c>
      <c r="D425" s="100" t="s">
        <v>581</v>
      </c>
      <c r="E425" s="100">
        <v>162</v>
      </c>
      <c r="F425" s="100" t="s">
        <v>1471</v>
      </c>
      <c r="G425" s="101">
        <v>3.7</v>
      </c>
      <c r="H425" s="101">
        <v>59831.46</v>
      </c>
      <c r="I425" s="100" t="s">
        <v>1165</v>
      </c>
      <c r="J425" s="101">
        <v>1.3</v>
      </c>
      <c r="K425" s="101">
        <v>21168.54</v>
      </c>
      <c r="L425" s="100" t="s">
        <v>1166</v>
      </c>
      <c r="M425" s="100">
        <v>38662.92</v>
      </c>
      <c r="N425" s="121">
        <v>0.1196</v>
      </c>
    </row>
    <row r="426" spans="3:14" x14ac:dyDescent="0.25">
      <c r="C426" s="99">
        <v>309</v>
      </c>
      <c r="D426" s="100" t="s">
        <v>581</v>
      </c>
      <c r="E426" s="100">
        <v>169</v>
      </c>
      <c r="F426" s="100" t="s">
        <v>1154</v>
      </c>
      <c r="G426" s="101">
        <v>3.55</v>
      </c>
      <c r="H426" s="101">
        <v>59881.77</v>
      </c>
      <c r="I426" s="100" t="s">
        <v>1165</v>
      </c>
      <c r="J426" s="101">
        <v>0.65</v>
      </c>
      <c r="K426" s="101">
        <v>11098.23</v>
      </c>
      <c r="L426" s="100" t="s">
        <v>1166</v>
      </c>
      <c r="M426" s="100">
        <v>48783.54</v>
      </c>
      <c r="N426" s="121">
        <v>0.14460000000000001</v>
      </c>
    </row>
    <row r="427" spans="3:14" x14ac:dyDescent="0.25">
      <c r="C427" s="99">
        <v>310</v>
      </c>
      <c r="D427" s="100" t="s">
        <v>519</v>
      </c>
      <c r="E427" s="100">
        <v>92</v>
      </c>
      <c r="F427" s="100" t="s">
        <v>1158</v>
      </c>
      <c r="G427" s="101">
        <v>6.75</v>
      </c>
      <c r="H427" s="101">
        <v>62038.36</v>
      </c>
      <c r="I427" s="100" t="s">
        <v>1165</v>
      </c>
      <c r="J427" s="101">
        <v>4.2</v>
      </c>
      <c r="K427" s="101">
        <v>38701.64</v>
      </c>
      <c r="L427" s="100" t="s">
        <v>1166</v>
      </c>
      <c r="M427" s="100">
        <v>23336.720000000001</v>
      </c>
      <c r="N427" s="121">
        <v>3.2800000000000003E-2</v>
      </c>
    </row>
    <row r="428" spans="3:14" x14ac:dyDescent="0.25">
      <c r="C428" s="99">
        <v>311</v>
      </c>
      <c r="D428" s="100" t="s">
        <v>519</v>
      </c>
      <c r="E428" s="100">
        <v>101</v>
      </c>
      <c r="F428" s="100" t="s">
        <v>1472</v>
      </c>
      <c r="G428" s="101">
        <v>6.15</v>
      </c>
      <c r="H428" s="101">
        <v>62047.33</v>
      </c>
      <c r="I428" s="100" t="s">
        <v>1165</v>
      </c>
      <c r="J428" s="101">
        <v>3.1</v>
      </c>
      <c r="K428" s="101">
        <v>31377.67</v>
      </c>
      <c r="L428" s="100" t="s">
        <v>1166</v>
      </c>
      <c r="M428" s="100">
        <v>30669.66</v>
      </c>
      <c r="N428" s="121">
        <v>4.19E-2</v>
      </c>
    </row>
    <row r="429" spans="3:14" x14ac:dyDescent="0.25">
      <c r="C429" s="99">
        <v>312</v>
      </c>
      <c r="D429" s="100" t="s">
        <v>519</v>
      </c>
      <c r="E429" s="100">
        <v>94</v>
      </c>
      <c r="F429" s="100" t="s">
        <v>1136</v>
      </c>
      <c r="G429" s="101">
        <v>6.65</v>
      </c>
      <c r="H429" s="101">
        <v>62447.02</v>
      </c>
      <c r="I429" s="100" t="s">
        <v>1165</v>
      </c>
      <c r="J429" s="101">
        <v>3.55</v>
      </c>
      <c r="K429" s="101">
        <v>33432.980000000003</v>
      </c>
      <c r="L429" s="100" t="s">
        <v>1166</v>
      </c>
      <c r="M429" s="100">
        <v>29014.04</v>
      </c>
      <c r="N429" s="121">
        <v>4.1200000000000001E-2</v>
      </c>
    </row>
    <row r="430" spans="3:14" x14ac:dyDescent="0.25">
      <c r="C430" s="99">
        <v>313</v>
      </c>
      <c r="D430" s="100" t="s">
        <v>918</v>
      </c>
      <c r="E430" s="100">
        <v>44</v>
      </c>
      <c r="F430" s="100" t="s">
        <v>1138</v>
      </c>
      <c r="G430" s="101">
        <v>14.4</v>
      </c>
      <c r="H430" s="101">
        <v>63330.52</v>
      </c>
      <c r="I430" s="100" t="s">
        <v>1165</v>
      </c>
      <c r="J430" s="101">
        <v>4.3</v>
      </c>
      <c r="K430" s="101">
        <v>18949.48</v>
      </c>
      <c r="L430" s="100" t="s">
        <v>1166</v>
      </c>
      <c r="M430" s="100">
        <v>44381.04</v>
      </c>
      <c r="N430" s="121">
        <v>6.9599999999999995E-2</v>
      </c>
    </row>
    <row r="431" spans="3:14" x14ac:dyDescent="0.25">
      <c r="C431" s="99">
        <v>314</v>
      </c>
      <c r="D431" s="100" t="s">
        <v>943</v>
      </c>
      <c r="E431" s="100">
        <v>23</v>
      </c>
      <c r="F431" s="100" t="s">
        <v>1473</v>
      </c>
      <c r="G431" s="101">
        <v>27.85</v>
      </c>
      <c r="H431" s="101">
        <v>64039.59</v>
      </c>
      <c r="I431" s="100" t="s">
        <v>1165</v>
      </c>
      <c r="J431" s="101">
        <v>6</v>
      </c>
      <c r="K431" s="101">
        <v>13815.41</v>
      </c>
      <c r="L431" s="100" t="s">
        <v>1166</v>
      </c>
      <c r="M431" s="100">
        <v>50224.18</v>
      </c>
      <c r="N431" s="121">
        <v>7.9500000000000001E-2</v>
      </c>
    </row>
    <row r="432" spans="3:14" x14ac:dyDescent="0.25">
      <c r="C432" s="99">
        <v>315</v>
      </c>
      <c r="D432" s="100" t="s">
        <v>1121</v>
      </c>
      <c r="E432" s="100">
        <v>32</v>
      </c>
      <c r="F432" s="100" t="s">
        <v>1145</v>
      </c>
      <c r="G432" s="101">
        <v>20.8</v>
      </c>
      <c r="H432" s="101">
        <v>66538.559999999998</v>
      </c>
      <c r="I432" s="100" t="s">
        <v>1165</v>
      </c>
      <c r="J432" s="101">
        <v>11.15</v>
      </c>
      <c r="K432" s="101">
        <v>35701.440000000002</v>
      </c>
      <c r="L432" s="100" t="s">
        <v>1166</v>
      </c>
      <c r="M432" s="100">
        <v>30837.119999999999</v>
      </c>
      <c r="N432" s="121">
        <v>4.02E-2</v>
      </c>
    </row>
    <row r="433" spans="3:14" x14ac:dyDescent="0.25">
      <c r="C433" s="99">
        <v>316</v>
      </c>
      <c r="D433" s="100" t="s">
        <v>1121</v>
      </c>
      <c r="E433" s="100">
        <v>31</v>
      </c>
      <c r="F433" s="100" t="s">
        <v>1164</v>
      </c>
      <c r="G433" s="101">
        <v>22.1</v>
      </c>
      <c r="H433" s="101">
        <v>68489.23</v>
      </c>
      <c r="I433" s="100" t="s">
        <v>1165</v>
      </c>
      <c r="J433" s="101">
        <v>16.3</v>
      </c>
      <c r="K433" s="101">
        <v>50550.77</v>
      </c>
      <c r="L433" s="100" t="s">
        <v>1166</v>
      </c>
      <c r="M433" s="100">
        <v>17938.46</v>
      </c>
      <c r="N433" s="121">
        <v>2.41E-2</v>
      </c>
    </row>
    <row r="434" spans="3:14" x14ac:dyDescent="0.25">
      <c r="C434" s="99">
        <v>317</v>
      </c>
      <c r="D434" s="100" t="s">
        <v>524</v>
      </c>
      <c r="E434" s="100">
        <v>56</v>
      </c>
      <c r="F434" s="100" t="s">
        <v>1170</v>
      </c>
      <c r="G434" s="101">
        <v>12.1</v>
      </c>
      <c r="H434" s="101">
        <v>67722.48</v>
      </c>
      <c r="I434" s="100" t="s">
        <v>1165</v>
      </c>
      <c r="J434" s="101">
        <v>8.8000000000000007</v>
      </c>
      <c r="K434" s="101">
        <v>49317.52</v>
      </c>
      <c r="L434" s="100" t="s">
        <v>1166</v>
      </c>
      <c r="M434" s="100">
        <v>18404.96</v>
      </c>
      <c r="N434" s="121">
        <v>2.2700000000000001E-2</v>
      </c>
    </row>
    <row r="435" spans="3:14" x14ac:dyDescent="0.25">
      <c r="C435" s="99">
        <v>318</v>
      </c>
      <c r="D435" s="100" t="s">
        <v>1069</v>
      </c>
      <c r="E435" s="100">
        <v>74</v>
      </c>
      <c r="F435" s="100" t="s">
        <v>1152</v>
      </c>
      <c r="G435" s="101">
        <v>9.5500000000000007</v>
      </c>
      <c r="H435" s="101">
        <v>70620.42</v>
      </c>
      <c r="I435" s="100" t="s">
        <v>1165</v>
      </c>
      <c r="J435" s="101">
        <v>4.45</v>
      </c>
      <c r="K435" s="101">
        <v>32979.58</v>
      </c>
      <c r="L435" s="100" t="s">
        <v>1166</v>
      </c>
      <c r="M435" s="100">
        <v>37640.839999999997</v>
      </c>
      <c r="N435" s="121">
        <v>4.6300000000000001E-2</v>
      </c>
    </row>
    <row r="436" spans="3:14" x14ac:dyDescent="0.25">
      <c r="C436" s="99">
        <v>319</v>
      </c>
      <c r="D436" s="100" t="s">
        <v>1474</v>
      </c>
      <c r="E436" s="100">
        <v>77</v>
      </c>
      <c r="F436" s="100" t="s">
        <v>1174</v>
      </c>
      <c r="G436" s="101">
        <v>9.6</v>
      </c>
      <c r="H436" s="101">
        <v>73868.41</v>
      </c>
      <c r="I436" s="100" t="s">
        <v>1165</v>
      </c>
      <c r="J436" s="101">
        <v>17.600000000000001</v>
      </c>
      <c r="K436" s="101">
        <v>135571.59</v>
      </c>
      <c r="L436" s="100" t="s">
        <v>1166</v>
      </c>
      <c r="M436" s="100">
        <v>-61703.18</v>
      </c>
      <c r="N436" s="121">
        <v>-6.9699999999999998E-2</v>
      </c>
    </row>
    <row r="437" spans="3:14" x14ac:dyDescent="0.25">
      <c r="C437" s="99">
        <v>320</v>
      </c>
      <c r="D437" s="100" t="s">
        <v>814</v>
      </c>
      <c r="E437" s="100">
        <v>193</v>
      </c>
      <c r="F437" s="100" t="s">
        <v>1175</v>
      </c>
      <c r="G437" s="101">
        <v>3.85</v>
      </c>
      <c r="H437" s="101">
        <v>74175.69</v>
      </c>
      <c r="I437" s="100" t="s">
        <v>1165</v>
      </c>
      <c r="J437" s="101">
        <v>5.5</v>
      </c>
      <c r="K437" s="101">
        <v>106279.31</v>
      </c>
      <c r="L437" s="100" t="s">
        <v>1166</v>
      </c>
      <c r="M437" s="100">
        <v>-32103.62</v>
      </c>
      <c r="N437" s="121">
        <v>-3.9600000000000003E-2</v>
      </c>
    </row>
    <row r="438" spans="3:14" x14ac:dyDescent="0.25">
      <c r="C438" s="99">
        <v>321</v>
      </c>
      <c r="D438" s="100" t="s">
        <v>1067</v>
      </c>
      <c r="E438" s="100">
        <v>165</v>
      </c>
      <c r="F438" s="100" t="s">
        <v>1176</v>
      </c>
      <c r="G438" s="101">
        <v>4.55</v>
      </c>
      <c r="H438" s="101">
        <v>74964.45</v>
      </c>
      <c r="I438" s="100" t="s">
        <v>1165</v>
      </c>
      <c r="J438" s="101">
        <v>5</v>
      </c>
      <c r="K438" s="101">
        <v>82610.55</v>
      </c>
      <c r="L438" s="100" t="s">
        <v>1166</v>
      </c>
      <c r="M438" s="100">
        <v>-7646.1</v>
      </c>
      <c r="N438" s="121">
        <v>-8.8000000000000005E-3</v>
      </c>
    </row>
    <row r="439" spans="3:14" x14ac:dyDescent="0.25">
      <c r="C439" s="99">
        <v>322</v>
      </c>
      <c r="D439" s="100" t="s">
        <v>1067</v>
      </c>
      <c r="E439" s="100">
        <v>156</v>
      </c>
      <c r="F439" s="100" t="s">
        <v>1177</v>
      </c>
      <c r="G439" s="101">
        <v>4.75</v>
      </c>
      <c r="H439" s="101">
        <v>73995.48</v>
      </c>
      <c r="I439" s="100" t="s">
        <v>1165</v>
      </c>
      <c r="J439" s="101">
        <v>5.35</v>
      </c>
      <c r="K439" s="101">
        <v>83564.52</v>
      </c>
      <c r="L439" s="100" t="s">
        <v>1166</v>
      </c>
      <c r="M439" s="100">
        <v>-9569.0400000000009</v>
      </c>
      <c r="N439" s="121">
        <v>-1.14E-2</v>
      </c>
    </row>
    <row r="440" spans="3:14" x14ac:dyDescent="0.25">
      <c r="C440" s="99">
        <v>323</v>
      </c>
      <c r="D440" s="100" t="s">
        <v>993</v>
      </c>
      <c r="E440" s="100">
        <v>57</v>
      </c>
      <c r="F440" s="100" t="s">
        <v>1179</v>
      </c>
      <c r="G440" s="101">
        <v>13.05</v>
      </c>
      <c r="H440" s="101">
        <v>74346.81</v>
      </c>
      <c r="I440" s="100" t="s">
        <v>1165</v>
      </c>
      <c r="J440" s="101">
        <v>14.4</v>
      </c>
      <c r="K440" s="101">
        <v>82118.19</v>
      </c>
      <c r="L440" s="100" t="s">
        <v>1166</v>
      </c>
      <c r="M440" s="100">
        <v>-7771.38</v>
      </c>
      <c r="N440" s="121">
        <v>-9.1000000000000004E-3</v>
      </c>
    </row>
    <row r="441" spans="3:14" x14ac:dyDescent="0.25">
      <c r="C441" s="99">
        <v>324</v>
      </c>
      <c r="D441" s="100" t="s">
        <v>1474</v>
      </c>
      <c r="E441" s="100">
        <v>85</v>
      </c>
      <c r="F441" s="100" t="s">
        <v>1475</v>
      </c>
      <c r="G441" s="101">
        <v>8.9</v>
      </c>
      <c r="H441" s="101">
        <v>75593.05</v>
      </c>
      <c r="I441" s="100" t="s">
        <v>1165</v>
      </c>
      <c r="J441" s="101">
        <v>12.4</v>
      </c>
      <c r="K441" s="101">
        <v>105456.95</v>
      </c>
      <c r="L441" s="100" t="s">
        <v>1166</v>
      </c>
      <c r="M441" s="100">
        <v>-29863.9</v>
      </c>
      <c r="N441" s="121">
        <v>-3.3500000000000002E-2</v>
      </c>
    </row>
    <row r="442" spans="3:14" x14ac:dyDescent="0.25">
      <c r="C442" s="99">
        <v>325</v>
      </c>
      <c r="D442" s="100" t="s">
        <v>1474</v>
      </c>
      <c r="E442" s="100">
        <v>82</v>
      </c>
      <c r="F442" s="100" t="s">
        <v>1476</v>
      </c>
      <c r="G442" s="101">
        <v>9.3000000000000007</v>
      </c>
      <c r="H442" s="101">
        <v>76205.06</v>
      </c>
      <c r="I442" s="100" t="s">
        <v>1165</v>
      </c>
      <c r="J442" s="101">
        <v>13.9</v>
      </c>
      <c r="K442" s="101">
        <v>114034.94</v>
      </c>
      <c r="L442" s="100" t="s">
        <v>1166</v>
      </c>
      <c r="M442" s="100">
        <v>-37829.879999999997</v>
      </c>
      <c r="N442" s="121">
        <v>-4.2000000000000003E-2</v>
      </c>
    </row>
    <row r="443" spans="3:14" x14ac:dyDescent="0.25">
      <c r="C443" s="99">
        <v>326</v>
      </c>
      <c r="D443" s="100" t="s">
        <v>814</v>
      </c>
      <c r="E443" s="100">
        <v>209</v>
      </c>
      <c r="F443" s="100" t="s">
        <v>1180</v>
      </c>
      <c r="G443" s="101">
        <v>3.65</v>
      </c>
      <c r="H443" s="101">
        <v>76144.97</v>
      </c>
      <c r="I443" s="100" t="s">
        <v>1165</v>
      </c>
      <c r="J443" s="101">
        <v>3.55</v>
      </c>
      <c r="K443" s="101">
        <v>74335.03</v>
      </c>
      <c r="L443" s="100" t="s">
        <v>1166</v>
      </c>
      <c r="M443" s="100">
        <v>1809.94</v>
      </c>
      <c r="N443" s="121">
        <v>2.2000000000000001E-3</v>
      </c>
    </row>
    <row r="444" spans="3:14" x14ac:dyDescent="0.25">
      <c r="C444" s="99">
        <v>327</v>
      </c>
      <c r="D444" s="100" t="s">
        <v>1474</v>
      </c>
      <c r="E444" s="100">
        <v>79</v>
      </c>
      <c r="F444" s="100" t="s">
        <v>1181</v>
      </c>
      <c r="G444" s="101">
        <v>9.6999999999999993</v>
      </c>
      <c r="H444" s="101">
        <v>76577.070000000007</v>
      </c>
      <c r="I444" s="100" t="s">
        <v>1165</v>
      </c>
      <c r="J444" s="101">
        <v>14.8</v>
      </c>
      <c r="K444" s="101">
        <v>116972.93</v>
      </c>
      <c r="L444" s="100" t="s">
        <v>1166</v>
      </c>
      <c r="M444" s="100">
        <v>-40395.86</v>
      </c>
      <c r="N444" s="121">
        <v>-4.65E-2</v>
      </c>
    </row>
    <row r="445" spans="3:14" x14ac:dyDescent="0.25">
      <c r="C445" s="99">
        <v>328</v>
      </c>
      <c r="D445" s="100" t="s">
        <v>1079</v>
      </c>
      <c r="E445" s="100">
        <v>14</v>
      </c>
      <c r="F445" s="100" t="s">
        <v>1183</v>
      </c>
      <c r="G445" s="101">
        <v>51.1</v>
      </c>
      <c r="H445" s="101">
        <v>71530.62</v>
      </c>
      <c r="I445" s="100" t="s">
        <v>1165</v>
      </c>
      <c r="J445" s="101">
        <v>48</v>
      </c>
      <c r="K445" s="101">
        <v>67209.38</v>
      </c>
      <c r="L445" s="100" t="s">
        <v>1166</v>
      </c>
      <c r="M445" s="100">
        <v>4321.24</v>
      </c>
      <c r="N445" s="121">
        <v>5.1000000000000004E-3</v>
      </c>
    </row>
    <row r="446" spans="3:14" x14ac:dyDescent="0.25">
      <c r="C446" s="99">
        <v>329</v>
      </c>
      <c r="D446" s="100" t="s">
        <v>993</v>
      </c>
      <c r="E446" s="100">
        <v>55</v>
      </c>
      <c r="F446" s="100" t="s">
        <v>1463</v>
      </c>
      <c r="G446" s="101">
        <v>13.15</v>
      </c>
      <c r="H446" s="101">
        <v>72288.149999999994</v>
      </c>
      <c r="I446" s="100" t="s">
        <v>1165</v>
      </c>
      <c r="J446" s="101">
        <v>15.9</v>
      </c>
      <c r="K446" s="101">
        <v>87486.85</v>
      </c>
      <c r="L446" s="100" t="s">
        <v>1166</v>
      </c>
      <c r="M446" s="100">
        <v>-15198.7</v>
      </c>
      <c r="N446" s="121">
        <v>-1.78E-2</v>
      </c>
    </row>
    <row r="447" spans="3:14" x14ac:dyDescent="0.25">
      <c r="C447" s="99">
        <v>330</v>
      </c>
      <c r="D447" s="100" t="s">
        <v>1069</v>
      </c>
      <c r="E447" s="100">
        <v>67</v>
      </c>
      <c r="F447" s="100" t="s">
        <v>1184</v>
      </c>
      <c r="G447" s="101">
        <v>11</v>
      </c>
      <c r="H447" s="101">
        <v>73655.11</v>
      </c>
      <c r="I447" s="100" t="s">
        <v>1165</v>
      </c>
      <c r="J447" s="101">
        <v>9.1</v>
      </c>
      <c r="K447" s="101">
        <v>61014.89</v>
      </c>
      <c r="L447" s="100" t="s">
        <v>1166</v>
      </c>
      <c r="M447" s="100">
        <v>12640.22</v>
      </c>
      <c r="N447" s="121">
        <v>1.4500000000000001E-2</v>
      </c>
    </row>
    <row r="448" spans="3:14" x14ac:dyDescent="0.25">
      <c r="C448" s="99">
        <v>331</v>
      </c>
      <c r="D448" s="100" t="s">
        <v>1079</v>
      </c>
      <c r="E448" s="100">
        <v>13</v>
      </c>
      <c r="F448" s="100" t="s">
        <v>1188</v>
      </c>
      <c r="G448" s="101">
        <v>55.4</v>
      </c>
      <c r="H448" s="101">
        <v>72011.289999999994</v>
      </c>
      <c r="I448" s="100" t="s">
        <v>1165</v>
      </c>
      <c r="J448" s="101">
        <v>54</v>
      </c>
      <c r="K448" s="101">
        <v>70208.710000000006</v>
      </c>
      <c r="L448" s="100" t="s">
        <v>1166</v>
      </c>
      <c r="M448" s="100">
        <v>1802.58</v>
      </c>
      <c r="N448" s="121">
        <v>2.2000000000000001E-3</v>
      </c>
    </row>
    <row r="449" spans="3:14" x14ac:dyDescent="0.25">
      <c r="C449" s="99">
        <v>332</v>
      </c>
      <c r="D449" s="100" t="s">
        <v>1079</v>
      </c>
      <c r="E449" s="100">
        <v>14</v>
      </c>
      <c r="F449" s="100" t="s">
        <v>1162</v>
      </c>
      <c r="G449" s="101">
        <v>53.3</v>
      </c>
      <c r="H449" s="101">
        <v>74610.62</v>
      </c>
      <c r="I449" s="100" t="s">
        <v>1165</v>
      </c>
      <c r="J449" s="101">
        <v>58</v>
      </c>
      <c r="K449" s="101">
        <v>81209.38</v>
      </c>
      <c r="L449" s="100" t="s">
        <v>1166</v>
      </c>
      <c r="M449" s="100">
        <v>-6598.76</v>
      </c>
      <c r="N449" s="121">
        <v>-7.4999999999999997E-3</v>
      </c>
    </row>
    <row r="450" spans="3:14" x14ac:dyDescent="0.25">
      <c r="C450" s="99">
        <v>333</v>
      </c>
      <c r="D450" s="100" t="s">
        <v>1079</v>
      </c>
      <c r="E450" s="100">
        <v>13</v>
      </c>
      <c r="F450" s="100" t="s">
        <v>1189</v>
      </c>
      <c r="G450" s="101">
        <v>56.5</v>
      </c>
      <c r="H450" s="101">
        <v>73441.289999999994</v>
      </c>
      <c r="I450" s="100" t="s">
        <v>1165</v>
      </c>
      <c r="J450" s="101">
        <v>61</v>
      </c>
      <c r="K450" s="101">
        <v>79308.710000000006</v>
      </c>
      <c r="L450" s="100" t="s">
        <v>1166</v>
      </c>
      <c r="M450" s="100">
        <v>-5867.42</v>
      </c>
      <c r="N450" s="121">
        <v>-7.1000000000000004E-3</v>
      </c>
    </row>
    <row r="451" spans="3:14" ht="15.75" thickBot="1" x14ac:dyDescent="0.3">
      <c r="C451" s="104">
        <v>334</v>
      </c>
      <c r="D451" s="105" t="s">
        <v>993</v>
      </c>
      <c r="E451" s="105">
        <v>50</v>
      </c>
      <c r="F451" s="105" t="s">
        <v>1190</v>
      </c>
      <c r="G451" s="106">
        <v>14.95</v>
      </c>
      <c r="H451" s="106">
        <v>74716.5</v>
      </c>
      <c r="I451" s="105" t="s">
        <v>1165</v>
      </c>
      <c r="J451" s="106">
        <v>17.649999999999999</v>
      </c>
      <c r="K451" s="106">
        <v>88283.5</v>
      </c>
      <c r="L451" s="105" t="s">
        <v>1166</v>
      </c>
      <c r="M451" s="105">
        <v>-13567</v>
      </c>
      <c r="N451" s="122">
        <v>-1.7000000000000001E-2</v>
      </c>
    </row>
    <row r="452" spans="3:14" x14ac:dyDescent="0.25">
      <c r="C452" s="94">
        <v>335</v>
      </c>
      <c r="D452" s="95" t="s">
        <v>392</v>
      </c>
      <c r="E452" s="95">
        <v>5</v>
      </c>
      <c r="F452" s="95" t="s">
        <v>393</v>
      </c>
      <c r="G452" s="96">
        <v>19.8</v>
      </c>
      <c r="H452" s="96">
        <v>9900</v>
      </c>
      <c r="I452" s="95" t="s">
        <v>394</v>
      </c>
      <c r="J452" s="96">
        <v>62.7</v>
      </c>
      <c r="K452" s="96">
        <v>31353.35</v>
      </c>
      <c r="L452" s="95" t="s">
        <v>395</v>
      </c>
      <c r="M452" s="95">
        <v>-21456.7</v>
      </c>
      <c r="N452" s="120">
        <v>-0.20419999999999999</v>
      </c>
    </row>
    <row r="453" spans="3:14" x14ac:dyDescent="0.25">
      <c r="C453" s="99">
        <v>336</v>
      </c>
      <c r="D453" s="100" t="s">
        <v>589</v>
      </c>
      <c r="E453" s="100">
        <v>22</v>
      </c>
      <c r="F453" s="100" t="s">
        <v>562</v>
      </c>
      <c r="G453" s="101">
        <v>10.050000000000001</v>
      </c>
      <c r="H453" s="101">
        <v>22110</v>
      </c>
      <c r="I453" s="100" t="s">
        <v>590</v>
      </c>
      <c r="J453" s="101">
        <v>12.55</v>
      </c>
      <c r="K453" s="101">
        <v>27624.74</v>
      </c>
      <c r="L453" s="100" t="s">
        <v>395</v>
      </c>
      <c r="M453" s="100">
        <v>-5529.48</v>
      </c>
      <c r="N453" s="121">
        <v>-2.3900000000000001E-2</v>
      </c>
    </row>
    <row r="454" spans="3:14" x14ac:dyDescent="0.25">
      <c r="C454" s="99">
        <v>337</v>
      </c>
      <c r="D454" s="100" t="s">
        <v>589</v>
      </c>
      <c r="E454" s="100">
        <v>21</v>
      </c>
      <c r="F454" s="100" t="s">
        <v>573</v>
      </c>
      <c r="G454" s="101">
        <v>10.9</v>
      </c>
      <c r="H454" s="101">
        <v>22890</v>
      </c>
      <c r="I454" s="100" t="s">
        <v>590</v>
      </c>
      <c r="J454" s="101">
        <v>15</v>
      </c>
      <c r="K454" s="101">
        <v>31514.07</v>
      </c>
      <c r="L454" s="100" t="s">
        <v>395</v>
      </c>
      <c r="M454" s="100">
        <v>-8638.14</v>
      </c>
      <c r="N454" s="121">
        <v>-3.7699999999999997E-2</v>
      </c>
    </row>
    <row r="455" spans="3:14" x14ac:dyDescent="0.25">
      <c r="C455" s="99">
        <v>338</v>
      </c>
      <c r="D455" s="100" t="s">
        <v>589</v>
      </c>
      <c r="E455" s="100">
        <v>14</v>
      </c>
      <c r="F455" s="100" t="s">
        <v>591</v>
      </c>
      <c r="G455" s="101">
        <v>16.2</v>
      </c>
      <c r="H455" s="101">
        <v>22680</v>
      </c>
      <c r="I455" s="100" t="s">
        <v>590</v>
      </c>
      <c r="J455" s="101">
        <v>17.95</v>
      </c>
      <c r="K455" s="101">
        <v>25139.38</v>
      </c>
      <c r="L455" s="100" t="s">
        <v>395</v>
      </c>
      <c r="M455" s="100">
        <v>-2468.7600000000002</v>
      </c>
      <c r="N455" s="121">
        <v>-1.78E-2</v>
      </c>
    </row>
    <row r="456" spans="3:14" x14ac:dyDescent="0.25">
      <c r="C456" s="99">
        <v>339</v>
      </c>
      <c r="D456" s="100" t="s">
        <v>589</v>
      </c>
      <c r="E456" s="100">
        <v>12</v>
      </c>
      <c r="F456" s="100" t="s">
        <v>592</v>
      </c>
      <c r="G456" s="101">
        <v>18.05</v>
      </c>
      <c r="H456" s="101">
        <v>21660</v>
      </c>
      <c r="I456" s="100" t="s">
        <v>590</v>
      </c>
      <c r="J456" s="101">
        <v>20.5</v>
      </c>
      <c r="K456" s="101">
        <v>24608.04</v>
      </c>
      <c r="L456" s="100" t="s">
        <v>395</v>
      </c>
      <c r="M456" s="100">
        <v>-2956.08</v>
      </c>
      <c r="N456" s="121">
        <v>-2.4199999999999999E-2</v>
      </c>
    </row>
    <row r="457" spans="3:14" x14ac:dyDescent="0.25">
      <c r="C457" s="99">
        <v>340</v>
      </c>
      <c r="D457" s="100" t="s">
        <v>589</v>
      </c>
      <c r="E457" s="100">
        <v>17</v>
      </c>
      <c r="F457" s="100" t="s">
        <v>593</v>
      </c>
      <c r="G457" s="101">
        <v>13.25</v>
      </c>
      <c r="H457" s="101">
        <v>22525</v>
      </c>
      <c r="I457" s="100" t="s">
        <v>590</v>
      </c>
      <c r="J457" s="101">
        <v>15.35</v>
      </c>
      <c r="K457" s="101">
        <v>26106.39</v>
      </c>
      <c r="L457" s="100" t="s">
        <v>395</v>
      </c>
      <c r="M457" s="100">
        <v>-3592.78</v>
      </c>
      <c r="N457" s="121">
        <v>-2.18E-2</v>
      </c>
    </row>
    <row r="458" spans="3:14" x14ac:dyDescent="0.25">
      <c r="C458" s="99">
        <v>341</v>
      </c>
      <c r="D458" s="100" t="s">
        <v>589</v>
      </c>
      <c r="E458" s="100">
        <v>14</v>
      </c>
      <c r="F458" s="100" t="s">
        <v>580</v>
      </c>
      <c r="G458" s="101">
        <v>16.25</v>
      </c>
      <c r="H458" s="101">
        <v>22750</v>
      </c>
      <c r="I458" s="100" t="s">
        <v>590</v>
      </c>
      <c r="J458" s="101">
        <v>23.35</v>
      </c>
      <c r="K458" s="101">
        <v>32699.38</v>
      </c>
      <c r="L458" s="100" t="s">
        <v>395</v>
      </c>
      <c r="M458" s="100">
        <v>-9958.76</v>
      </c>
      <c r="N458" s="121">
        <v>-6.54E-2</v>
      </c>
    </row>
    <row r="459" spans="3:14" x14ac:dyDescent="0.25">
      <c r="C459" s="99">
        <v>342</v>
      </c>
      <c r="D459" s="100" t="s">
        <v>589</v>
      </c>
      <c r="E459" s="100">
        <v>22</v>
      </c>
      <c r="F459" s="100" t="s">
        <v>582</v>
      </c>
      <c r="G459" s="101">
        <v>10.85</v>
      </c>
      <c r="H459" s="101">
        <v>23870</v>
      </c>
      <c r="I459" s="100" t="s">
        <v>590</v>
      </c>
      <c r="J459" s="101">
        <v>17.600000000000001</v>
      </c>
      <c r="K459" s="101">
        <v>38734.74</v>
      </c>
      <c r="L459" s="100" t="s">
        <v>395</v>
      </c>
      <c r="M459" s="100">
        <v>-14879.48</v>
      </c>
      <c r="N459" s="121">
        <v>-5.9299999999999999E-2</v>
      </c>
    </row>
    <row r="460" spans="3:14" x14ac:dyDescent="0.25">
      <c r="C460" s="99">
        <v>343</v>
      </c>
      <c r="D460" s="100" t="s">
        <v>589</v>
      </c>
      <c r="E460" s="100">
        <v>22</v>
      </c>
      <c r="F460" s="100" t="s">
        <v>583</v>
      </c>
      <c r="G460" s="101">
        <v>10.65</v>
      </c>
      <c r="H460" s="101">
        <v>23430</v>
      </c>
      <c r="I460" s="100" t="s">
        <v>590</v>
      </c>
      <c r="J460" s="101">
        <v>13.1</v>
      </c>
      <c r="K460" s="101">
        <v>28834.74</v>
      </c>
      <c r="L460" s="100" t="s">
        <v>395</v>
      </c>
      <c r="M460" s="100">
        <v>-5419.48</v>
      </c>
      <c r="N460" s="121">
        <v>-2.6100000000000002E-2</v>
      </c>
    </row>
    <row r="461" spans="3:14" x14ac:dyDescent="0.25">
      <c r="C461" s="99">
        <v>344</v>
      </c>
      <c r="D461" s="100" t="s">
        <v>529</v>
      </c>
      <c r="E461" s="100">
        <v>22</v>
      </c>
      <c r="F461" s="100" t="s">
        <v>530</v>
      </c>
      <c r="G461" s="101">
        <v>8</v>
      </c>
      <c r="H461" s="101">
        <v>17600</v>
      </c>
      <c r="I461" s="100" t="s">
        <v>596</v>
      </c>
      <c r="J461" s="101">
        <v>0.54</v>
      </c>
      <c r="K461" s="101">
        <v>1202.74</v>
      </c>
      <c r="L461" s="100" t="s">
        <v>395</v>
      </c>
      <c r="M461" s="100">
        <v>16382.52</v>
      </c>
      <c r="N461" s="121">
        <v>8.5599999999999996E-2</v>
      </c>
    </row>
    <row r="462" spans="3:14" x14ac:dyDescent="0.25">
      <c r="C462" s="99">
        <v>345</v>
      </c>
      <c r="D462" s="100" t="s">
        <v>529</v>
      </c>
      <c r="E462" s="100">
        <v>17</v>
      </c>
      <c r="F462" s="100" t="s">
        <v>584</v>
      </c>
      <c r="G462" s="101">
        <v>12.5</v>
      </c>
      <c r="H462" s="101">
        <v>21250</v>
      </c>
      <c r="I462" s="100" t="s">
        <v>596</v>
      </c>
      <c r="J462" s="101">
        <v>14.45</v>
      </c>
      <c r="K462" s="101">
        <v>24576.39</v>
      </c>
      <c r="L462" s="100" t="s">
        <v>395</v>
      </c>
      <c r="M462" s="100">
        <v>-3337.78</v>
      </c>
      <c r="N462" s="121">
        <v>-1.4800000000000001E-2</v>
      </c>
    </row>
    <row r="463" spans="3:14" x14ac:dyDescent="0.25">
      <c r="C463" s="99">
        <v>346</v>
      </c>
      <c r="D463" s="100" t="s">
        <v>529</v>
      </c>
      <c r="E463" s="100">
        <v>17</v>
      </c>
      <c r="F463" s="100" t="s">
        <v>595</v>
      </c>
      <c r="G463" s="101">
        <v>13.8</v>
      </c>
      <c r="H463" s="101">
        <v>23460</v>
      </c>
      <c r="I463" s="100" t="s">
        <v>596</v>
      </c>
      <c r="J463" s="101">
        <v>28</v>
      </c>
      <c r="K463" s="101">
        <v>47611.39</v>
      </c>
      <c r="L463" s="100" t="s">
        <v>395</v>
      </c>
      <c r="M463" s="100">
        <v>-24162.78</v>
      </c>
      <c r="N463" s="121">
        <v>-9.7199999999999995E-2</v>
      </c>
    </row>
    <row r="464" spans="3:14" x14ac:dyDescent="0.25">
      <c r="C464" s="99">
        <v>347</v>
      </c>
      <c r="D464" s="100" t="s">
        <v>529</v>
      </c>
      <c r="E464" s="100">
        <v>14</v>
      </c>
      <c r="F464" s="100" t="s">
        <v>597</v>
      </c>
      <c r="G464" s="101">
        <v>16.8</v>
      </c>
      <c r="H464" s="101">
        <v>23520</v>
      </c>
      <c r="I464" s="100" t="s">
        <v>596</v>
      </c>
      <c r="J464" s="101">
        <v>32.549999999999997</v>
      </c>
      <c r="K464" s="101">
        <v>45579.38</v>
      </c>
      <c r="L464" s="100" t="s">
        <v>395</v>
      </c>
      <c r="M464" s="100">
        <v>-22068.76</v>
      </c>
      <c r="N464" s="121">
        <v>-0.10639999999999999</v>
      </c>
    </row>
    <row r="465" spans="3:14" x14ac:dyDescent="0.25">
      <c r="C465" s="99">
        <v>348</v>
      </c>
      <c r="D465" s="100" t="s">
        <v>529</v>
      </c>
      <c r="E465" s="100">
        <v>18</v>
      </c>
      <c r="F465" s="100" t="s">
        <v>598</v>
      </c>
      <c r="G465" s="101">
        <v>14</v>
      </c>
      <c r="H465" s="101">
        <v>25200</v>
      </c>
      <c r="I465" s="100" t="s">
        <v>596</v>
      </c>
      <c r="J465" s="101">
        <v>29.5</v>
      </c>
      <c r="K465" s="101">
        <v>53112.06</v>
      </c>
      <c r="L465" s="100" t="s">
        <v>395</v>
      </c>
      <c r="M465" s="100">
        <v>-27924.12</v>
      </c>
      <c r="N465" s="121">
        <v>-0.10630000000000001</v>
      </c>
    </row>
    <row r="466" spans="3:14" x14ac:dyDescent="0.25">
      <c r="C466" s="99">
        <v>349</v>
      </c>
      <c r="D466" s="100" t="s">
        <v>529</v>
      </c>
      <c r="E466" s="100">
        <v>15</v>
      </c>
      <c r="F466" s="100" t="s">
        <v>588</v>
      </c>
      <c r="G466" s="101">
        <v>16.2</v>
      </c>
      <c r="H466" s="101">
        <v>24300</v>
      </c>
      <c r="I466" s="100" t="s">
        <v>596</v>
      </c>
      <c r="J466" s="101">
        <v>30.95</v>
      </c>
      <c r="K466" s="101">
        <v>46435.05</v>
      </c>
      <c r="L466" s="100" t="s">
        <v>395</v>
      </c>
      <c r="M466" s="100">
        <v>-22145.1</v>
      </c>
      <c r="N466" s="121">
        <v>-9.9199999999999997E-2</v>
      </c>
    </row>
    <row r="467" spans="3:14" x14ac:dyDescent="0.25">
      <c r="C467" s="99">
        <v>350</v>
      </c>
      <c r="D467" s="100" t="s">
        <v>529</v>
      </c>
      <c r="E467" s="100">
        <v>19</v>
      </c>
      <c r="F467" s="100" t="s">
        <v>600</v>
      </c>
      <c r="G467" s="101">
        <v>13</v>
      </c>
      <c r="H467" s="101">
        <v>24700</v>
      </c>
      <c r="I467" s="100" t="s">
        <v>596</v>
      </c>
      <c r="J467" s="101">
        <v>26.9</v>
      </c>
      <c r="K467" s="101">
        <v>51122.73</v>
      </c>
      <c r="L467" s="100" t="s">
        <v>395</v>
      </c>
      <c r="M467" s="100">
        <v>-26435.46</v>
      </c>
      <c r="N467" s="121">
        <v>-9.8000000000000004E-2</v>
      </c>
    </row>
    <row r="468" spans="3:14" x14ac:dyDescent="0.25">
      <c r="C468" s="99">
        <v>351</v>
      </c>
      <c r="D468" s="100" t="s">
        <v>581</v>
      </c>
      <c r="E468" s="100">
        <v>59</v>
      </c>
      <c r="F468" s="100" t="s">
        <v>569</v>
      </c>
      <c r="G468" s="101">
        <v>3.8</v>
      </c>
      <c r="H468" s="101">
        <v>22420</v>
      </c>
      <c r="I468" s="100" t="s">
        <v>604</v>
      </c>
      <c r="J468" s="101">
        <v>3.6</v>
      </c>
      <c r="K468" s="101">
        <v>21279.53</v>
      </c>
      <c r="L468" s="100" t="s">
        <v>395</v>
      </c>
      <c r="M468" s="100">
        <v>1100.94</v>
      </c>
      <c r="N468" s="121">
        <v>9.4000000000000004E-3</v>
      </c>
    </row>
    <row r="469" spans="3:14" x14ac:dyDescent="0.25">
      <c r="C469" s="99">
        <v>352</v>
      </c>
      <c r="D469" s="100" t="s">
        <v>581</v>
      </c>
      <c r="E469" s="100">
        <v>56</v>
      </c>
      <c r="F469" s="100" t="s">
        <v>571</v>
      </c>
      <c r="G469" s="101">
        <v>4</v>
      </c>
      <c r="H469" s="101">
        <v>22400</v>
      </c>
      <c r="I469" s="100" t="s">
        <v>604</v>
      </c>
      <c r="J469" s="101">
        <v>3.4</v>
      </c>
      <c r="K469" s="101">
        <v>19077.52</v>
      </c>
      <c r="L469" s="100" t="s">
        <v>395</v>
      </c>
      <c r="M469" s="100">
        <v>3284.96</v>
      </c>
      <c r="N469" s="121">
        <v>3.0300000000000001E-2</v>
      </c>
    </row>
    <row r="470" spans="3:14" x14ac:dyDescent="0.25">
      <c r="C470" s="99">
        <v>353</v>
      </c>
      <c r="D470" s="100" t="s">
        <v>581</v>
      </c>
      <c r="E470" s="100">
        <v>42</v>
      </c>
      <c r="F470" s="100" t="s">
        <v>603</v>
      </c>
      <c r="G470" s="101">
        <v>5.3</v>
      </c>
      <c r="H470" s="101">
        <v>22260</v>
      </c>
      <c r="I470" s="100" t="s">
        <v>604</v>
      </c>
      <c r="J470" s="101">
        <v>5.0999999999999996</v>
      </c>
      <c r="K470" s="101">
        <v>21448.14</v>
      </c>
      <c r="L470" s="100" t="s">
        <v>395</v>
      </c>
      <c r="M470" s="100">
        <v>783.72</v>
      </c>
      <c r="N470" s="121">
        <v>0.01</v>
      </c>
    </row>
    <row r="471" spans="3:14" x14ac:dyDescent="0.25">
      <c r="C471" s="99">
        <v>354</v>
      </c>
      <c r="D471" s="100" t="s">
        <v>581</v>
      </c>
      <c r="E471" s="100">
        <v>48</v>
      </c>
      <c r="F471" s="100" t="s">
        <v>605</v>
      </c>
      <c r="G471" s="101">
        <v>4.7</v>
      </c>
      <c r="H471" s="101">
        <v>22560</v>
      </c>
      <c r="I471" s="100" t="s">
        <v>604</v>
      </c>
      <c r="J471" s="101">
        <v>4.7</v>
      </c>
      <c r="K471" s="101">
        <v>22592.16</v>
      </c>
      <c r="L471" s="100" t="s">
        <v>395</v>
      </c>
      <c r="M471" s="100">
        <v>-64.319999999999993</v>
      </c>
      <c r="N471" s="121">
        <v>-6.9999999999999999E-4</v>
      </c>
    </row>
    <row r="472" spans="3:14" x14ac:dyDescent="0.25">
      <c r="C472" s="99">
        <v>355</v>
      </c>
      <c r="D472" s="100" t="s">
        <v>581</v>
      </c>
      <c r="E472" s="100">
        <v>65</v>
      </c>
      <c r="F472" s="100" t="s">
        <v>575</v>
      </c>
      <c r="G472" s="101">
        <v>3.6</v>
      </c>
      <c r="H472" s="101">
        <v>23400</v>
      </c>
      <c r="I472" s="100" t="s">
        <v>604</v>
      </c>
      <c r="J472" s="101">
        <v>4.2</v>
      </c>
      <c r="K472" s="101">
        <v>27343.55</v>
      </c>
      <c r="L472" s="100" t="s">
        <v>395</v>
      </c>
      <c r="M472" s="100">
        <v>-3987.1</v>
      </c>
      <c r="N472" s="121">
        <v>-3.3300000000000003E-2</v>
      </c>
    </row>
    <row r="473" spans="3:14" x14ac:dyDescent="0.25">
      <c r="C473" s="99">
        <v>356</v>
      </c>
      <c r="D473" s="100" t="s">
        <v>581</v>
      </c>
      <c r="E473" s="100">
        <v>50</v>
      </c>
      <c r="F473" s="100" t="s">
        <v>578</v>
      </c>
      <c r="G473" s="101">
        <v>4.5999999999999996</v>
      </c>
      <c r="H473" s="101">
        <v>23000</v>
      </c>
      <c r="I473" s="100" t="s">
        <v>604</v>
      </c>
      <c r="J473" s="101">
        <v>5.7</v>
      </c>
      <c r="K473" s="101">
        <v>28533.5</v>
      </c>
      <c r="L473" s="100" t="s">
        <v>395</v>
      </c>
      <c r="M473" s="100">
        <v>-5567</v>
      </c>
      <c r="N473" s="121">
        <v>-5.4600000000000003E-2</v>
      </c>
    </row>
    <row r="474" spans="3:14" x14ac:dyDescent="0.25">
      <c r="C474" s="99">
        <v>357</v>
      </c>
      <c r="D474" s="100" t="s">
        <v>581</v>
      </c>
      <c r="E474" s="100">
        <v>68</v>
      </c>
      <c r="F474" s="100" t="s">
        <v>606</v>
      </c>
      <c r="G474" s="101">
        <v>3.6</v>
      </c>
      <c r="H474" s="101">
        <v>24480</v>
      </c>
      <c r="I474" s="100" t="s">
        <v>604</v>
      </c>
      <c r="J474" s="101">
        <v>6.2</v>
      </c>
      <c r="K474" s="101">
        <v>42205.56</v>
      </c>
      <c r="L474" s="100" t="s">
        <v>395</v>
      </c>
      <c r="M474" s="100">
        <v>-17771.12</v>
      </c>
      <c r="N474" s="121">
        <v>-0.1167</v>
      </c>
    </row>
    <row r="475" spans="3:14" x14ac:dyDescent="0.25">
      <c r="C475" s="99">
        <v>358</v>
      </c>
      <c r="D475" s="100" t="s">
        <v>581</v>
      </c>
      <c r="E475" s="100">
        <v>51</v>
      </c>
      <c r="F475" s="100" t="s">
        <v>607</v>
      </c>
      <c r="G475" s="101">
        <v>4.8</v>
      </c>
      <c r="H475" s="101">
        <v>24480</v>
      </c>
      <c r="I475" s="100" t="s">
        <v>604</v>
      </c>
      <c r="J475" s="101">
        <v>7.8</v>
      </c>
      <c r="K475" s="101">
        <v>39814.17</v>
      </c>
      <c r="L475" s="100" t="s">
        <v>395</v>
      </c>
      <c r="M475" s="100">
        <v>-15368.34</v>
      </c>
      <c r="N475" s="121">
        <v>-0.1338</v>
      </c>
    </row>
    <row r="476" spans="3:14" x14ac:dyDescent="0.25">
      <c r="C476" s="99">
        <v>359</v>
      </c>
      <c r="D476" s="100" t="s">
        <v>669</v>
      </c>
      <c r="E476" s="100">
        <v>10</v>
      </c>
      <c r="F476" s="100" t="s">
        <v>670</v>
      </c>
      <c r="G476" s="101">
        <v>29.4</v>
      </c>
      <c r="H476" s="101">
        <v>29400</v>
      </c>
      <c r="I476" s="100" t="s">
        <v>671</v>
      </c>
      <c r="J476" s="101">
        <v>57.15</v>
      </c>
      <c r="K476" s="101">
        <v>57156.7</v>
      </c>
      <c r="L476" s="100" t="s">
        <v>395</v>
      </c>
      <c r="M476" s="100">
        <v>-27763.4</v>
      </c>
      <c r="N476" s="121">
        <v>-0.1154</v>
      </c>
    </row>
    <row r="477" spans="3:14" x14ac:dyDescent="0.25">
      <c r="C477" s="99">
        <v>360</v>
      </c>
      <c r="D477" s="100" t="s">
        <v>669</v>
      </c>
      <c r="E477" s="100">
        <v>10</v>
      </c>
      <c r="F477" s="100" t="s">
        <v>672</v>
      </c>
      <c r="G477" s="101">
        <v>29.5</v>
      </c>
      <c r="H477" s="101">
        <v>29500</v>
      </c>
      <c r="I477" s="100" t="s">
        <v>671</v>
      </c>
      <c r="J477" s="101">
        <v>53.95</v>
      </c>
      <c r="K477" s="101">
        <v>53956.7</v>
      </c>
      <c r="L477" s="100" t="s">
        <v>395</v>
      </c>
      <c r="M477" s="100">
        <v>-24463.4</v>
      </c>
      <c r="N477" s="121">
        <v>-0.1017</v>
      </c>
    </row>
    <row r="478" spans="3:14" x14ac:dyDescent="0.25">
      <c r="C478" s="99">
        <v>361</v>
      </c>
      <c r="D478" s="100" t="s">
        <v>669</v>
      </c>
      <c r="E478" s="100">
        <v>10</v>
      </c>
      <c r="F478" s="100" t="s">
        <v>673</v>
      </c>
      <c r="G478" s="101">
        <v>27.9</v>
      </c>
      <c r="H478" s="101">
        <v>27900</v>
      </c>
      <c r="I478" s="100" t="s">
        <v>671</v>
      </c>
      <c r="J478" s="101">
        <v>44.95</v>
      </c>
      <c r="K478" s="101">
        <v>44956.7</v>
      </c>
      <c r="L478" s="100" t="s">
        <v>395</v>
      </c>
      <c r="M478" s="100">
        <v>-17063.400000000001</v>
      </c>
      <c r="N478" s="121">
        <v>-7.6799999999999993E-2</v>
      </c>
    </row>
    <row r="479" spans="3:14" x14ac:dyDescent="0.25">
      <c r="C479" s="99">
        <v>362</v>
      </c>
      <c r="D479" s="100" t="s">
        <v>519</v>
      </c>
      <c r="E479" s="100">
        <v>80</v>
      </c>
      <c r="F479" s="100" t="s">
        <v>1366</v>
      </c>
      <c r="G479" s="101">
        <v>3.55</v>
      </c>
      <c r="H479" s="101">
        <v>28400</v>
      </c>
      <c r="I479" s="100" t="s">
        <v>755</v>
      </c>
      <c r="J479" s="101">
        <v>6.7</v>
      </c>
      <c r="K479" s="101">
        <v>53653.599999999999</v>
      </c>
      <c r="L479" s="100" t="s">
        <v>395</v>
      </c>
      <c r="M479" s="100">
        <v>-25307.200000000001</v>
      </c>
      <c r="N479" s="121">
        <v>-9.4600000000000004E-2</v>
      </c>
    </row>
    <row r="480" spans="3:14" x14ac:dyDescent="0.25">
      <c r="C480" s="99">
        <v>363</v>
      </c>
      <c r="D480" s="100" t="s">
        <v>519</v>
      </c>
      <c r="E480" s="100">
        <v>62</v>
      </c>
      <c r="F480" s="100" t="s">
        <v>733</v>
      </c>
      <c r="G480" s="101">
        <v>4.25</v>
      </c>
      <c r="H480" s="101">
        <v>26350</v>
      </c>
      <c r="I480" s="100" t="s">
        <v>755</v>
      </c>
      <c r="J480" s="101">
        <v>8.8000000000000007</v>
      </c>
      <c r="K480" s="101">
        <v>54601.54</v>
      </c>
      <c r="L480" s="100" t="s">
        <v>395</v>
      </c>
      <c r="M480" s="100">
        <v>-28293.08</v>
      </c>
      <c r="N480" s="121">
        <v>-0.12759999999999999</v>
      </c>
    </row>
    <row r="481" spans="3:14" x14ac:dyDescent="0.25">
      <c r="C481" s="99">
        <v>364</v>
      </c>
      <c r="D481" s="100" t="s">
        <v>519</v>
      </c>
      <c r="E481" s="100">
        <v>66</v>
      </c>
      <c r="F481" s="100" t="s">
        <v>735</v>
      </c>
      <c r="G481" s="101">
        <v>4.0999999999999996</v>
      </c>
      <c r="H481" s="101">
        <v>27060</v>
      </c>
      <c r="I481" s="100" t="s">
        <v>755</v>
      </c>
      <c r="J481" s="101">
        <v>9</v>
      </c>
      <c r="K481" s="101">
        <v>59444.22</v>
      </c>
      <c r="L481" s="100" t="s">
        <v>395</v>
      </c>
      <c r="M481" s="100">
        <v>-32428.44</v>
      </c>
      <c r="N481" s="121">
        <v>-0.13320000000000001</v>
      </c>
    </row>
    <row r="482" spans="3:14" x14ac:dyDescent="0.25">
      <c r="C482" s="99">
        <v>365</v>
      </c>
      <c r="D482" s="100" t="s">
        <v>519</v>
      </c>
      <c r="E482" s="100">
        <v>67</v>
      </c>
      <c r="F482" s="100" t="s">
        <v>756</v>
      </c>
      <c r="G482" s="101">
        <v>3.95</v>
      </c>
      <c r="H482" s="101">
        <v>26465</v>
      </c>
      <c r="I482" s="100" t="s">
        <v>755</v>
      </c>
      <c r="J482" s="101">
        <v>8.4</v>
      </c>
      <c r="K482" s="101">
        <v>56324.89</v>
      </c>
      <c r="L482" s="100" t="s">
        <v>395</v>
      </c>
      <c r="M482" s="100">
        <v>-29904.78</v>
      </c>
      <c r="N482" s="121">
        <v>-0.12379999999999999</v>
      </c>
    </row>
    <row r="483" spans="3:14" x14ac:dyDescent="0.25">
      <c r="C483" s="99">
        <v>366</v>
      </c>
      <c r="D483" s="100" t="s">
        <v>519</v>
      </c>
      <c r="E483" s="100">
        <v>70</v>
      </c>
      <c r="F483" s="100" t="s">
        <v>776</v>
      </c>
      <c r="G483" s="101">
        <v>3.75</v>
      </c>
      <c r="H483" s="101">
        <v>26250</v>
      </c>
      <c r="I483" s="100" t="s">
        <v>755</v>
      </c>
      <c r="J483" s="101">
        <v>7.15</v>
      </c>
      <c r="K483" s="101">
        <v>50096.9</v>
      </c>
      <c r="L483" s="100" t="s">
        <v>395</v>
      </c>
      <c r="M483" s="100">
        <v>-23893.8</v>
      </c>
      <c r="N483" s="121">
        <v>-0.1027</v>
      </c>
    </row>
    <row r="484" spans="3:14" x14ac:dyDescent="0.25">
      <c r="C484" s="99">
        <v>367</v>
      </c>
      <c r="D484" s="100" t="s">
        <v>519</v>
      </c>
      <c r="E484" s="100">
        <v>72</v>
      </c>
      <c r="F484" s="100" t="s">
        <v>1367</v>
      </c>
      <c r="G484" s="101">
        <v>3.9</v>
      </c>
      <c r="H484" s="101">
        <v>28080</v>
      </c>
      <c r="I484" s="100" t="s">
        <v>755</v>
      </c>
      <c r="J484" s="101">
        <v>7.2</v>
      </c>
      <c r="K484" s="101">
        <v>51888.24</v>
      </c>
      <c r="L484" s="100" t="s">
        <v>395</v>
      </c>
      <c r="M484" s="100">
        <v>-23856.48</v>
      </c>
      <c r="N484" s="121">
        <v>-9.7199999999999995E-2</v>
      </c>
    </row>
    <row r="485" spans="3:14" x14ac:dyDescent="0.25">
      <c r="C485" s="99">
        <v>368</v>
      </c>
      <c r="D485" s="100" t="s">
        <v>943</v>
      </c>
      <c r="E485" s="100">
        <v>8</v>
      </c>
      <c r="F485" s="100" t="s">
        <v>1263</v>
      </c>
      <c r="G485" s="101">
        <v>36.15</v>
      </c>
      <c r="H485" s="101">
        <v>28920</v>
      </c>
      <c r="I485" s="100" t="s">
        <v>812</v>
      </c>
      <c r="J485" s="101">
        <v>58.35</v>
      </c>
      <c r="K485" s="101">
        <v>46685.36</v>
      </c>
      <c r="L485" s="100" t="s">
        <v>395</v>
      </c>
      <c r="M485" s="100">
        <v>-17770.72</v>
      </c>
      <c r="N485" s="121">
        <v>-0.1</v>
      </c>
    </row>
    <row r="486" spans="3:14" x14ac:dyDescent="0.25">
      <c r="C486" s="99">
        <v>369</v>
      </c>
      <c r="D486" s="100" t="s">
        <v>943</v>
      </c>
      <c r="E486" s="100">
        <v>8</v>
      </c>
      <c r="F486" s="100" t="s">
        <v>1379</v>
      </c>
      <c r="G486" s="101">
        <v>34.700000000000003</v>
      </c>
      <c r="H486" s="101">
        <v>27760</v>
      </c>
      <c r="I486" s="100" t="s">
        <v>812</v>
      </c>
      <c r="J486" s="101">
        <v>56.25</v>
      </c>
      <c r="K486" s="101">
        <v>45005.36</v>
      </c>
      <c r="L486" s="100" t="s">
        <v>395</v>
      </c>
      <c r="M486" s="100">
        <v>-17250.72</v>
      </c>
      <c r="N486" s="121">
        <v>-9.7900000000000001E-2</v>
      </c>
    </row>
    <row r="487" spans="3:14" x14ac:dyDescent="0.25">
      <c r="C487" s="99">
        <v>370</v>
      </c>
      <c r="D487" s="100" t="s">
        <v>943</v>
      </c>
      <c r="E487" s="100">
        <v>12</v>
      </c>
      <c r="F487" s="100" t="s">
        <v>861</v>
      </c>
      <c r="G487" s="101">
        <v>26.1</v>
      </c>
      <c r="H487" s="101">
        <v>31320</v>
      </c>
      <c r="I487" s="100" t="s">
        <v>812</v>
      </c>
      <c r="J487" s="101">
        <v>43.45</v>
      </c>
      <c r="K487" s="101">
        <v>52148.04</v>
      </c>
      <c r="L487" s="100" t="s">
        <v>395</v>
      </c>
      <c r="M487" s="100">
        <v>-20836.080000000002</v>
      </c>
      <c r="N487" s="121">
        <v>-8.3799999999999999E-2</v>
      </c>
    </row>
    <row r="488" spans="3:14" x14ac:dyDescent="0.25">
      <c r="C488" s="99">
        <v>371</v>
      </c>
      <c r="D488" s="100" t="s">
        <v>943</v>
      </c>
      <c r="E488" s="100">
        <v>11</v>
      </c>
      <c r="F488" s="100" t="s">
        <v>828</v>
      </c>
      <c r="G488" s="101">
        <v>23.9</v>
      </c>
      <c r="H488" s="101">
        <v>26290</v>
      </c>
      <c r="I488" s="100" t="s">
        <v>812</v>
      </c>
      <c r="J488" s="101">
        <v>44.05</v>
      </c>
      <c r="K488" s="101">
        <v>48462.37</v>
      </c>
      <c r="L488" s="100" t="s">
        <v>395</v>
      </c>
      <c r="M488" s="100">
        <v>-22179.74</v>
      </c>
      <c r="N488" s="121">
        <v>-9.3299999999999994E-2</v>
      </c>
    </row>
    <row r="489" spans="3:14" x14ac:dyDescent="0.25">
      <c r="C489" s="99">
        <v>372</v>
      </c>
      <c r="D489" s="100" t="s">
        <v>943</v>
      </c>
      <c r="E489" s="100">
        <v>10</v>
      </c>
      <c r="F489" s="100" t="s">
        <v>794</v>
      </c>
      <c r="G489" s="101">
        <v>26.7</v>
      </c>
      <c r="H489" s="101">
        <v>26700</v>
      </c>
      <c r="I489" s="100" t="s">
        <v>812</v>
      </c>
      <c r="J489" s="101">
        <v>52.1</v>
      </c>
      <c r="K489" s="101">
        <v>52106.7</v>
      </c>
      <c r="L489" s="100" t="s">
        <v>395</v>
      </c>
      <c r="M489" s="100">
        <v>-25413.4</v>
      </c>
      <c r="N489" s="121">
        <v>-0.1147</v>
      </c>
    </row>
    <row r="490" spans="3:14" x14ac:dyDescent="0.25">
      <c r="C490" s="99">
        <v>373</v>
      </c>
      <c r="D490" s="100" t="s">
        <v>943</v>
      </c>
      <c r="E490" s="100">
        <v>10</v>
      </c>
      <c r="F490" s="100" t="s">
        <v>1264</v>
      </c>
      <c r="G490" s="101">
        <v>27.1</v>
      </c>
      <c r="H490" s="101">
        <v>27100</v>
      </c>
      <c r="I490" s="100" t="s">
        <v>812</v>
      </c>
      <c r="J490" s="101">
        <v>55.15</v>
      </c>
      <c r="K490" s="101">
        <v>55156.7</v>
      </c>
      <c r="L490" s="100" t="s">
        <v>395</v>
      </c>
      <c r="M490" s="100">
        <v>-28063.4</v>
      </c>
      <c r="N490" s="121">
        <v>-0.124</v>
      </c>
    </row>
    <row r="491" spans="3:14" x14ac:dyDescent="0.25">
      <c r="C491" s="99">
        <v>374</v>
      </c>
      <c r="D491" s="100" t="s">
        <v>943</v>
      </c>
      <c r="E491" s="100">
        <v>12</v>
      </c>
      <c r="F491" s="100" t="s">
        <v>795</v>
      </c>
      <c r="G491" s="101">
        <v>26.8</v>
      </c>
      <c r="H491" s="101">
        <v>32160</v>
      </c>
      <c r="I491" s="100" t="s">
        <v>812</v>
      </c>
      <c r="J491" s="101">
        <v>49.1</v>
      </c>
      <c r="K491" s="101">
        <v>58928.04</v>
      </c>
      <c r="L491" s="100" t="s">
        <v>395</v>
      </c>
      <c r="M491" s="100">
        <v>-26776.080000000002</v>
      </c>
      <c r="N491" s="121">
        <v>-0.10299999999999999</v>
      </c>
    </row>
    <row r="492" spans="3:14" x14ac:dyDescent="0.25">
      <c r="C492" s="99">
        <v>375</v>
      </c>
      <c r="D492" s="100" t="s">
        <v>943</v>
      </c>
      <c r="E492" s="100">
        <v>8</v>
      </c>
      <c r="F492" s="100" t="s">
        <v>864</v>
      </c>
      <c r="G492" s="101">
        <v>31.55</v>
      </c>
      <c r="H492" s="101">
        <v>25240</v>
      </c>
      <c r="I492" s="100" t="s">
        <v>812</v>
      </c>
      <c r="J492" s="101">
        <v>57.2</v>
      </c>
      <c r="K492" s="101">
        <v>45765.36</v>
      </c>
      <c r="L492" s="100" t="s">
        <v>395</v>
      </c>
      <c r="M492" s="100">
        <v>-20530.72</v>
      </c>
      <c r="N492" s="121">
        <v>-0.11749999999999999</v>
      </c>
    </row>
    <row r="493" spans="3:14" x14ac:dyDescent="0.25">
      <c r="C493" s="99">
        <v>376</v>
      </c>
      <c r="D493" s="100" t="s">
        <v>1383</v>
      </c>
      <c r="E493" s="100">
        <v>43</v>
      </c>
      <c r="F493" s="100" t="s">
        <v>1384</v>
      </c>
      <c r="G493" s="101">
        <v>7</v>
      </c>
      <c r="H493" s="101">
        <v>30100</v>
      </c>
      <c r="I493" s="100" t="s">
        <v>841</v>
      </c>
      <c r="J493" s="101">
        <v>13.45</v>
      </c>
      <c r="K493" s="101">
        <v>57863.81</v>
      </c>
      <c r="L493" s="100" t="s">
        <v>395</v>
      </c>
      <c r="M493" s="100">
        <v>-27792.62</v>
      </c>
      <c r="N493" s="121">
        <v>-9.1700000000000004E-2</v>
      </c>
    </row>
    <row r="494" spans="3:14" x14ac:dyDescent="0.25">
      <c r="C494" s="99">
        <v>377</v>
      </c>
      <c r="D494" s="100" t="s">
        <v>589</v>
      </c>
      <c r="E494" s="100">
        <v>14</v>
      </c>
      <c r="F494" s="100" t="s">
        <v>1388</v>
      </c>
      <c r="G494" s="101">
        <v>19.600000000000001</v>
      </c>
      <c r="H494" s="101">
        <v>27440</v>
      </c>
      <c r="I494" s="100" t="s">
        <v>839</v>
      </c>
      <c r="J494" s="101">
        <v>7.0000000000000007E-2</v>
      </c>
      <c r="K494" s="101">
        <v>107.38</v>
      </c>
      <c r="L494" s="100" t="s">
        <v>395</v>
      </c>
      <c r="M494" s="100">
        <v>27323.24</v>
      </c>
      <c r="N494" s="121">
        <v>0.1497</v>
      </c>
    </row>
    <row r="495" spans="3:14" x14ac:dyDescent="0.25">
      <c r="C495" s="99">
        <v>378</v>
      </c>
      <c r="D495" s="100" t="s">
        <v>589</v>
      </c>
      <c r="E495" s="100">
        <v>15</v>
      </c>
      <c r="F495" s="100" t="s">
        <v>749</v>
      </c>
      <c r="G495" s="101">
        <v>18.600000000000001</v>
      </c>
      <c r="H495" s="101">
        <v>27900</v>
      </c>
      <c r="I495" s="100" t="s">
        <v>839</v>
      </c>
      <c r="J495" s="101">
        <v>0.05</v>
      </c>
      <c r="K495" s="101">
        <v>85.05</v>
      </c>
      <c r="L495" s="100" t="s">
        <v>395</v>
      </c>
      <c r="M495" s="100">
        <v>27804.9</v>
      </c>
      <c r="N495" s="121">
        <v>0.1467</v>
      </c>
    </row>
    <row r="496" spans="3:14" x14ac:dyDescent="0.25">
      <c r="C496" s="99">
        <v>379</v>
      </c>
      <c r="D496" s="100" t="s">
        <v>589</v>
      </c>
      <c r="E496" s="100">
        <v>13</v>
      </c>
      <c r="F496" s="100" t="s">
        <v>1389</v>
      </c>
      <c r="G496" s="101">
        <v>20.9</v>
      </c>
      <c r="H496" s="101">
        <v>27170</v>
      </c>
      <c r="I496" s="100" t="s">
        <v>839</v>
      </c>
      <c r="J496" s="101">
        <v>0.11</v>
      </c>
      <c r="K496" s="101">
        <v>151.71</v>
      </c>
      <c r="L496" s="100" t="s">
        <v>395</v>
      </c>
      <c r="M496" s="100">
        <v>27009.58</v>
      </c>
      <c r="N496" s="121">
        <v>0.14940000000000001</v>
      </c>
    </row>
    <row r="497" spans="3:14" x14ac:dyDescent="0.25">
      <c r="C497" s="99">
        <v>380</v>
      </c>
      <c r="D497" s="100" t="s">
        <v>589</v>
      </c>
      <c r="E497" s="100">
        <v>14</v>
      </c>
      <c r="F497" s="100" t="s">
        <v>1390</v>
      </c>
      <c r="G497" s="101">
        <v>19.850000000000001</v>
      </c>
      <c r="H497" s="101">
        <v>27790</v>
      </c>
      <c r="I497" s="100" t="s">
        <v>839</v>
      </c>
      <c r="J497" s="101">
        <v>0.09</v>
      </c>
      <c r="K497" s="101">
        <v>135.38</v>
      </c>
      <c r="L497" s="100" t="s">
        <v>395</v>
      </c>
      <c r="M497" s="100">
        <v>27645.24</v>
      </c>
      <c r="N497" s="121">
        <v>0.14610000000000001</v>
      </c>
    </row>
    <row r="498" spans="3:14" x14ac:dyDescent="0.25">
      <c r="C498" s="99">
        <v>381</v>
      </c>
      <c r="D498" s="100" t="s">
        <v>589</v>
      </c>
      <c r="E498" s="100">
        <v>13</v>
      </c>
      <c r="F498" s="100" t="s">
        <v>752</v>
      </c>
      <c r="G498" s="101">
        <v>20.75</v>
      </c>
      <c r="H498" s="101">
        <v>26975</v>
      </c>
      <c r="I498" s="100" t="s">
        <v>839</v>
      </c>
      <c r="J498" s="101">
        <v>0.16</v>
      </c>
      <c r="K498" s="101">
        <v>216.71</v>
      </c>
      <c r="L498" s="100" t="s">
        <v>395</v>
      </c>
      <c r="M498" s="100">
        <v>26749.58</v>
      </c>
      <c r="N498" s="121">
        <v>0.1426</v>
      </c>
    </row>
    <row r="499" spans="3:14" x14ac:dyDescent="0.25">
      <c r="C499" s="99">
        <v>382</v>
      </c>
      <c r="D499" s="100" t="s">
        <v>589</v>
      </c>
      <c r="E499" s="100">
        <v>18</v>
      </c>
      <c r="F499" s="100" t="s">
        <v>840</v>
      </c>
      <c r="G499" s="101">
        <v>19.649999999999999</v>
      </c>
      <c r="H499" s="101">
        <v>35370</v>
      </c>
      <c r="I499" s="100" t="s">
        <v>839</v>
      </c>
      <c r="J499" s="101">
        <v>35.6</v>
      </c>
      <c r="K499" s="101">
        <v>64092.06</v>
      </c>
      <c r="L499" s="100" t="s">
        <v>395</v>
      </c>
      <c r="M499" s="100">
        <v>-28734.12</v>
      </c>
      <c r="N499" s="121">
        <v>-7.5899999999999995E-2</v>
      </c>
    </row>
    <row r="500" spans="3:14" x14ac:dyDescent="0.25">
      <c r="C500" s="99">
        <v>383</v>
      </c>
      <c r="D500" s="100" t="s">
        <v>589</v>
      </c>
      <c r="E500" s="100">
        <v>14</v>
      </c>
      <c r="F500" s="100" t="s">
        <v>841</v>
      </c>
      <c r="G500" s="101">
        <v>24.8</v>
      </c>
      <c r="H500" s="101">
        <v>34720</v>
      </c>
      <c r="I500" s="100" t="s">
        <v>839</v>
      </c>
      <c r="J500" s="101">
        <v>43.05</v>
      </c>
      <c r="K500" s="101">
        <v>60279.38</v>
      </c>
      <c r="L500" s="100" t="s">
        <v>395</v>
      </c>
      <c r="M500" s="100">
        <v>-25568.76</v>
      </c>
      <c r="N500" s="121">
        <v>-8.8999999999999996E-2</v>
      </c>
    </row>
    <row r="501" spans="3:14" x14ac:dyDescent="0.25">
      <c r="C501" s="99">
        <v>384</v>
      </c>
      <c r="D501" s="100" t="s">
        <v>589</v>
      </c>
      <c r="E501" s="100">
        <v>11</v>
      </c>
      <c r="F501" s="100" t="s">
        <v>842</v>
      </c>
      <c r="G501" s="101">
        <v>29.85</v>
      </c>
      <c r="H501" s="101">
        <v>32835</v>
      </c>
      <c r="I501" s="100" t="s">
        <v>839</v>
      </c>
      <c r="J501" s="101">
        <v>48.65</v>
      </c>
      <c r="K501" s="101">
        <v>53522.37</v>
      </c>
      <c r="L501" s="100" t="s">
        <v>395</v>
      </c>
      <c r="M501" s="100">
        <v>-20694.740000000002</v>
      </c>
      <c r="N501" s="121">
        <v>-8.9499999999999996E-2</v>
      </c>
    </row>
    <row r="502" spans="3:14" x14ac:dyDescent="0.25">
      <c r="C502" s="99">
        <v>385</v>
      </c>
      <c r="D502" s="100" t="s">
        <v>669</v>
      </c>
      <c r="E502" s="100">
        <v>21</v>
      </c>
      <c r="F502" s="100" t="s">
        <v>1397</v>
      </c>
      <c r="G502" s="101">
        <v>14.25</v>
      </c>
      <c r="H502" s="101">
        <v>29925</v>
      </c>
      <c r="I502" s="100" t="s">
        <v>879</v>
      </c>
      <c r="J502" s="101">
        <v>8.4499999999999993</v>
      </c>
      <c r="K502" s="101">
        <v>17759.07</v>
      </c>
      <c r="L502" s="100" t="s">
        <v>395</v>
      </c>
      <c r="M502" s="100">
        <v>12151.86</v>
      </c>
      <c r="N502" s="121">
        <v>5.4699999999999999E-2</v>
      </c>
    </row>
    <row r="503" spans="3:14" x14ac:dyDescent="0.25">
      <c r="C503" s="99">
        <v>386</v>
      </c>
      <c r="D503" s="100" t="s">
        <v>669</v>
      </c>
      <c r="E503" s="100">
        <v>19</v>
      </c>
      <c r="F503" s="100" t="s">
        <v>1398</v>
      </c>
      <c r="G503" s="101">
        <v>15.85</v>
      </c>
      <c r="H503" s="101">
        <v>30115</v>
      </c>
      <c r="I503" s="100" t="s">
        <v>879</v>
      </c>
      <c r="J503" s="101">
        <v>12.35</v>
      </c>
      <c r="K503" s="101">
        <v>23477.73</v>
      </c>
      <c r="L503" s="100" t="s">
        <v>395</v>
      </c>
      <c r="M503" s="100">
        <v>6624.54</v>
      </c>
      <c r="N503" s="121">
        <v>3.0499999999999999E-2</v>
      </c>
    </row>
    <row r="504" spans="3:14" x14ac:dyDescent="0.25">
      <c r="C504" s="99">
        <v>387</v>
      </c>
      <c r="D504" s="100" t="s">
        <v>669</v>
      </c>
      <c r="E504" s="100">
        <v>24</v>
      </c>
      <c r="F504" s="100" t="s">
        <v>809</v>
      </c>
      <c r="G504" s="101">
        <v>13</v>
      </c>
      <c r="H504" s="101">
        <v>31200</v>
      </c>
      <c r="I504" s="100" t="s">
        <v>879</v>
      </c>
      <c r="J504" s="101">
        <v>10.3</v>
      </c>
      <c r="K504" s="101">
        <v>24736.080000000002</v>
      </c>
      <c r="L504" s="100" t="s">
        <v>395</v>
      </c>
      <c r="M504" s="100">
        <v>6447.84</v>
      </c>
      <c r="N504" s="121">
        <v>2.4E-2</v>
      </c>
    </row>
    <row r="505" spans="3:14" x14ac:dyDescent="0.25">
      <c r="C505" s="99">
        <v>388</v>
      </c>
      <c r="D505" s="100" t="s">
        <v>669</v>
      </c>
      <c r="E505" s="100">
        <v>26</v>
      </c>
      <c r="F505" s="100" t="s">
        <v>856</v>
      </c>
      <c r="G505" s="101">
        <v>12.6</v>
      </c>
      <c r="H505" s="101">
        <v>32760</v>
      </c>
      <c r="I505" s="100" t="s">
        <v>879</v>
      </c>
      <c r="J505" s="101">
        <v>13.95</v>
      </c>
      <c r="K505" s="101">
        <v>36287.42</v>
      </c>
      <c r="L505" s="100" t="s">
        <v>395</v>
      </c>
      <c r="M505" s="100">
        <v>-3544.84</v>
      </c>
      <c r="N505" s="121">
        <v>-1.1599999999999999E-2</v>
      </c>
    </row>
    <row r="506" spans="3:14" x14ac:dyDescent="0.25">
      <c r="C506" s="99">
        <v>389</v>
      </c>
      <c r="D506" s="100" t="s">
        <v>669</v>
      </c>
      <c r="E506" s="100">
        <v>26</v>
      </c>
      <c r="F506" s="100" t="s">
        <v>820</v>
      </c>
      <c r="G506" s="101">
        <v>13.35</v>
      </c>
      <c r="H506" s="101">
        <v>34710</v>
      </c>
      <c r="I506" s="100" t="s">
        <v>879</v>
      </c>
      <c r="J506" s="101">
        <v>16.25</v>
      </c>
      <c r="K506" s="101">
        <v>42267.42</v>
      </c>
      <c r="L506" s="100" t="s">
        <v>395</v>
      </c>
      <c r="M506" s="100">
        <v>-7574.84</v>
      </c>
      <c r="N506" s="121">
        <v>-2.3900000000000001E-2</v>
      </c>
    </row>
    <row r="507" spans="3:14" x14ac:dyDescent="0.25">
      <c r="C507" s="99">
        <v>390</v>
      </c>
      <c r="D507" s="100" t="s">
        <v>669</v>
      </c>
      <c r="E507" s="100">
        <v>26</v>
      </c>
      <c r="F507" s="100" t="s">
        <v>848</v>
      </c>
      <c r="G507" s="101">
        <v>13.1</v>
      </c>
      <c r="H507" s="101">
        <v>34060</v>
      </c>
      <c r="I507" s="100" t="s">
        <v>879</v>
      </c>
      <c r="J507" s="101">
        <v>14.65</v>
      </c>
      <c r="K507" s="101">
        <v>38107.42</v>
      </c>
      <c r="L507" s="100" t="s">
        <v>395</v>
      </c>
      <c r="M507" s="100">
        <v>-4064.84</v>
      </c>
      <c r="N507" s="121">
        <v>-1.2800000000000001E-2</v>
      </c>
    </row>
    <row r="508" spans="3:14" x14ac:dyDescent="0.25">
      <c r="C508" s="99">
        <v>391</v>
      </c>
      <c r="D508" s="100" t="s">
        <v>669</v>
      </c>
      <c r="E508" s="100">
        <v>33</v>
      </c>
      <c r="F508" s="100" t="s">
        <v>823</v>
      </c>
      <c r="G508" s="101">
        <v>10.5</v>
      </c>
      <c r="H508" s="101">
        <v>34650</v>
      </c>
      <c r="I508" s="100" t="s">
        <v>879</v>
      </c>
      <c r="J508" s="101">
        <v>11.8</v>
      </c>
      <c r="K508" s="101">
        <v>38962.11</v>
      </c>
      <c r="L508" s="100" t="s">
        <v>395</v>
      </c>
      <c r="M508" s="100">
        <v>-4334.22</v>
      </c>
      <c r="N508" s="121">
        <v>-1.15E-2</v>
      </c>
    </row>
    <row r="509" spans="3:14" x14ac:dyDescent="0.25">
      <c r="C509" s="99">
        <v>392</v>
      </c>
      <c r="D509" s="100" t="s">
        <v>669</v>
      </c>
      <c r="E509" s="100">
        <v>36</v>
      </c>
      <c r="F509" s="100" t="s">
        <v>850</v>
      </c>
      <c r="G509" s="101">
        <v>10.1</v>
      </c>
      <c r="H509" s="101">
        <v>36360</v>
      </c>
      <c r="I509" s="100" t="s">
        <v>879</v>
      </c>
      <c r="J509" s="101">
        <v>9.9</v>
      </c>
      <c r="K509" s="101">
        <v>35664.120000000003</v>
      </c>
      <c r="L509" s="100" t="s">
        <v>395</v>
      </c>
      <c r="M509" s="100">
        <v>671.76</v>
      </c>
      <c r="N509" s="121">
        <v>1.6999999999999999E-3</v>
      </c>
    </row>
    <row r="510" spans="3:14" x14ac:dyDescent="0.25">
      <c r="C510" s="99">
        <v>393</v>
      </c>
      <c r="D510" s="100" t="s">
        <v>902</v>
      </c>
      <c r="E510" s="100">
        <v>103</v>
      </c>
      <c r="F510" s="100" t="s">
        <v>891</v>
      </c>
      <c r="G510" s="101">
        <v>4.05</v>
      </c>
      <c r="H510" s="101">
        <v>41715</v>
      </c>
      <c r="I510" s="100" t="s">
        <v>927</v>
      </c>
      <c r="J510" s="101">
        <v>3.85</v>
      </c>
      <c r="K510" s="101">
        <v>39724.01</v>
      </c>
      <c r="L510" s="100" t="s">
        <v>395</v>
      </c>
      <c r="M510" s="100">
        <v>1921.98</v>
      </c>
      <c r="N510" s="121">
        <v>5.3E-3</v>
      </c>
    </row>
    <row r="511" spans="3:14" x14ac:dyDescent="0.25">
      <c r="C511" s="99">
        <v>394</v>
      </c>
      <c r="D511" s="100" t="s">
        <v>902</v>
      </c>
      <c r="E511" s="100">
        <v>124</v>
      </c>
      <c r="F511" s="100" t="s">
        <v>924</v>
      </c>
      <c r="G511" s="101">
        <v>3.7</v>
      </c>
      <c r="H511" s="101">
        <v>45880</v>
      </c>
      <c r="I511" s="100" t="s">
        <v>927</v>
      </c>
      <c r="J511" s="101">
        <v>4.95</v>
      </c>
      <c r="K511" s="101">
        <v>61463.08</v>
      </c>
      <c r="L511" s="100" t="s">
        <v>395</v>
      </c>
      <c r="M511" s="100">
        <v>-15666.16</v>
      </c>
      <c r="N511" s="121">
        <v>-3.39E-2</v>
      </c>
    </row>
    <row r="512" spans="3:14" x14ac:dyDescent="0.25">
      <c r="C512" s="99">
        <v>395</v>
      </c>
      <c r="D512" s="100" t="s">
        <v>902</v>
      </c>
      <c r="E512" s="100">
        <v>129</v>
      </c>
      <c r="F512" s="100" t="s">
        <v>926</v>
      </c>
      <c r="G512" s="101">
        <v>3.9</v>
      </c>
      <c r="H512" s="101">
        <v>50310</v>
      </c>
      <c r="I512" s="100" t="s">
        <v>927</v>
      </c>
      <c r="J512" s="101">
        <v>9.15</v>
      </c>
      <c r="K512" s="101">
        <v>118121.43</v>
      </c>
      <c r="L512" s="100" t="s">
        <v>395</v>
      </c>
      <c r="M512" s="100">
        <v>-67897.86</v>
      </c>
      <c r="N512" s="121">
        <v>-0.12809999999999999</v>
      </c>
    </row>
    <row r="513" spans="3:14" x14ac:dyDescent="0.25">
      <c r="C513" s="99">
        <v>396</v>
      </c>
      <c r="D513" s="100" t="s">
        <v>902</v>
      </c>
      <c r="E513" s="100">
        <v>140</v>
      </c>
      <c r="F513" s="100" t="s">
        <v>1414</v>
      </c>
      <c r="G513" s="101">
        <v>3.7</v>
      </c>
      <c r="H513" s="101">
        <v>51800</v>
      </c>
      <c r="I513" s="100" t="s">
        <v>927</v>
      </c>
      <c r="J513" s="101">
        <v>8.1999999999999993</v>
      </c>
      <c r="K513" s="101">
        <v>114893.8</v>
      </c>
      <c r="L513" s="100" t="s">
        <v>395</v>
      </c>
      <c r="M513" s="100">
        <v>-63187.6</v>
      </c>
      <c r="N513" s="121">
        <v>-0.1148</v>
      </c>
    </row>
    <row r="514" spans="3:14" x14ac:dyDescent="0.25">
      <c r="C514" s="99">
        <v>397</v>
      </c>
      <c r="D514" s="100" t="s">
        <v>669</v>
      </c>
      <c r="E514" s="100">
        <v>61</v>
      </c>
      <c r="F514" s="100" t="s">
        <v>1427</v>
      </c>
      <c r="G514" s="101">
        <v>7.95</v>
      </c>
      <c r="H514" s="101">
        <v>48495</v>
      </c>
      <c r="I514" s="100" t="s">
        <v>1428</v>
      </c>
      <c r="J514" s="101">
        <v>13.85</v>
      </c>
      <c r="K514" s="101">
        <v>84525.87</v>
      </c>
      <c r="L514" s="100" t="s">
        <v>395</v>
      </c>
      <c r="M514" s="100">
        <v>-36071.74</v>
      </c>
      <c r="N514" s="121">
        <v>-7.2099999999999997E-2</v>
      </c>
    </row>
    <row r="515" spans="3:14" x14ac:dyDescent="0.25">
      <c r="C515" s="99">
        <v>398</v>
      </c>
      <c r="D515" s="100" t="s">
        <v>669</v>
      </c>
      <c r="E515" s="100">
        <v>61</v>
      </c>
      <c r="F515" s="100" t="s">
        <v>1429</v>
      </c>
      <c r="G515" s="101">
        <v>8</v>
      </c>
      <c r="H515" s="101">
        <v>48800</v>
      </c>
      <c r="I515" s="100" t="s">
        <v>1428</v>
      </c>
      <c r="J515" s="101">
        <v>15.6</v>
      </c>
      <c r="K515" s="101">
        <v>95200.87</v>
      </c>
      <c r="L515" s="100" t="s">
        <v>395</v>
      </c>
      <c r="M515" s="100">
        <v>-46441.74</v>
      </c>
      <c r="N515" s="121">
        <v>-9.2799999999999994E-2</v>
      </c>
    </row>
    <row r="516" spans="3:14" x14ac:dyDescent="0.25">
      <c r="C516" s="99">
        <v>399</v>
      </c>
      <c r="D516" s="100" t="s">
        <v>669</v>
      </c>
      <c r="E516" s="100">
        <v>66</v>
      </c>
      <c r="F516" s="100" t="s">
        <v>1430</v>
      </c>
      <c r="G516" s="101">
        <v>7.4</v>
      </c>
      <c r="H516" s="101">
        <v>48840</v>
      </c>
      <c r="I516" s="100" t="s">
        <v>1428</v>
      </c>
      <c r="J516" s="101">
        <v>12.85</v>
      </c>
      <c r="K516" s="101">
        <v>84854.22</v>
      </c>
      <c r="L516" s="100" t="s">
        <v>395</v>
      </c>
      <c r="M516" s="100">
        <v>-36058.44</v>
      </c>
      <c r="N516" s="121">
        <v>-7.0400000000000004E-2</v>
      </c>
    </row>
    <row r="517" spans="3:14" x14ac:dyDescent="0.25">
      <c r="C517" s="99">
        <v>400</v>
      </c>
      <c r="D517" s="100" t="s">
        <v>529</v>
      </c>
      <c r="E517" s="100">
        <v>83</v>
      </c>
      <c r="F517" s="100" t="s">
        <v>1431</v>
      </c>
      <c r="G517" s="101">
        <v>5.85</v>
      </c>
      <c r="H517" s="101">
        <v>48555</v>
      </c>
      <c r="I517" s="100" t="s">
        <v>953</v>
      </c>
      <c r="J517" s="101">
        <v>11.65</v>
      </c>
      <c r="K517" s="101">
        <v>96750.61</v>
      </c>
      <c r="L517" s="100" t="s">
        <v>395</v>
      </c>
      <c r="M517" s="100">
        <v>-48251.22</v>
      </c>
      <c r="N517" s="121">
        <v>-9.06E-2</v>
      </c>
    </row>
    <row r="518" spans="3:14" x14ac:dyDescent="0.25">
      <c r="C518" s="99">
        <v>401</v>
      </c>
      <c r="D518" s="100" t="s">
        <v>529</v>
      </c>
      <c r="E518" s="100">
        <v>88</v>
      </c>
      <c r="F518" s="100" t="s">
        <v>1432</v>
      </c>
      <c r="G518" s="101">
        <v>5.6</v>
      </c>
      <c r="H518" s="101">
        <v>49280</v>
      </c>
      <c r="I518" s="100" t="s">
        <v>953</v>
      </c>
      <c r="J518" s="101">
        <v>9.85</v>
      </c>
      <c r="K518" s="101">
        <v>86738.96</v>
      </c>
      <c r="L518" s="100" t="s">
        <v>395</v>
      </c>
      <c r="M518" s="100">
        <v>-37517.919999999998</v>
      </c>
      <c r="N518" s="121">
        <v>-7.1800000000000003E-2</v>
      </c>
    </row>
    <row r="519" spans="3:14" x14ac:dyDescent="0.25">
      <c r="C519" s="99">
        <v>402</v>
      </c>
      <c r="D519" s="100" t="s">
        <v>396</v>
      </c>
      <c r="E519" s="100">
        <v>39</v>
      </c>
      <c r="F519" s="100" t="s">
        <v>1293</v>
      </c>
      <c r="G519" s="101">
        <v>12.4</v>
      </c>
      <c r="H519" s="101">
        <v>48360</v>
      </c>
      <c r="I519" s="100" t="s">
        <v>1297</v>
      </c>
      <c r="J519" s="101">
        <v>25.3</v>
      </c>
      <c r="K519" s="101">
        <v>98696.13</v>
      </c>
      <c r="L519" s="100" t="s">
        <v>395</v>
      </c>
      <c r="M519" s="100">
        <v>-50362.26</v>
      </c>
      <c r="N519" s="121">
        <v>-9.74E-2</v>
      </c>
    </row>
    <row r="520" spans="3:14" x14ac:dyDescent="0.25">
      <c r="C520" s="99">
        <v>403</v>
      </c>
      <c r="D520" s="100" t="s">
        <v>773</v>
      </c>
      <c r="E520" s="100">
        <v>70</v>
      </c>
      <c r="F520" s="100" t="s">
        <v>1036</v>
      </c>
      <c r="G520" s="101">
        <v>7.15</v>
      </c>
      <c r="H520" s="101">
        <v>50050</v>
      </c>
      <c r="I520" s="100" t="s">
        <v>1456</v>
      </c>
      <c r="J520" s="101">
        <v>12.4</v>
      </c>
      <c r="K520" s="101">
        <v>86846.9</v>
      </c>
      <c r="L520" s="100" t="s">
        <v>395</v>
      </c>
      <c r="M520" s="100">
        <v>-36843.800000000003</v>
      </c>
      <c r="N520" s="121">
        <v>-6.7599999999999993E-2</v>
      </c>
    </row>
    <row r="521" spans="3:14" x14ac:dyDescent="0.25">
      <c r="C521" s="99">
        <v>404</v>
      </c>
      <c r="D521" s="100" t="s">
        <v>773</v>
      </c>
      <c r="E521" s="100">
        <v>65</v>
      </c>
      <c r="F521" s="100" t="s">
        <v>1457</v>
      </c>
      <c r="G521" s="101">
        <v>7.6</v>
      </c>
      <c r="H521" s="101">
        <v>49400</v>
      </c>
      <c r="I521" s="100" t="s">
        <v>1456</v>
      </c>
      <c r="J521" s="101">
        <v>15.6</v>
      </c>
      <c r="K521" s="101">
        <v>101443.55</v>
      </c>
      <c r="L521" s="100" t="s">
        <v>395</v>
      </c>
      <c r="M521" s="100">
        <v>-52087.1</v>
      </c>
      <c r="N521" s="121">
        <v>-9.7299999999999998E-2</v>
      </c>
    </row>
    <row r="522" spans="3:14" x14ac:dyDescent="0.25">
      <c r="C522" s="99">
        <v>405</v>
      </c>
      <c r="D522" s="100" t="s">
        <v>993</v>
      </c>
      <c r="E522" s="100">
        <v>79</v>
      </c>
      <c r="F522" s="100" t="s">
        <v>1009</v>
      </c>
      <c r="G522" s="101">
        <v>5.8</v>
      </c>
      <c r="H522" s="101">
        <v>45820</v>
      </c>
      <c r="I522" s="100" t="s">
        <v>1053</v>
      </c>
      <c r="J522" s="101">
        <v>0.51</v>
      </c>
      <c r="K522" s="101">
        <v>4081.93</v>
      </c>
      <c r="L522" s="100" t="s">
        <v>395</v>
      </c>
      <c r="M522" s="100">
        <v>41685.14</v>
      </c>
      <c r="N522" s="121">
        <v>8.5500000000000007E-2</v>
      </c>
    </row>
    <row r="523" spans="3:14" x14ac:dyDescent="0.25">
      <c r="C523" s="99">
        <v>406</v>
      </c>
      <c r="D523" s="100" t="s">
        <v>993</v>
      </c>
      <c r="E523" s="100">
        <v>50</v>
      </c>
      <c r="F523" s="100" t="s">
        <v>1054</v>
      </c>
      <c r="G523" s="101">
        <v>9.9499999999999993</v>
      </c>
      <c r="H523" s="101">
        <v>49750</v>
      </c>
      <c r="I523" s="100" t="s">
        <v>1053</v>
      </c>
      <c r="J523" s="101">
        <v>23.8</v>
      </c>
      <c r="K523" s="101">
        <v>119033.5</v>
      </c>
      <c r="L523" s="100" t="s">
        <v>395</v>
      </c>
      <c r="M523" s="100">
        <v>-69317</v>
      </c>
      <c r="N523" s="121">
        <v>-0.13200000000000001</v>
      </c>
    </row>
    <row r="524" spans="3:14" x14ac:dyDescent="0.25">
      <c r="C524" s="99">
        <v>407</v>
      </c>
      <c r="D524" s="100" t="s">
        <v>930</v>
      </c>
      <c r="E524" s="100">
        <v>79</v>
      </c>
      <c r="F524" s="100" t="s">
        <v>992</v>
      </c>
      <c r="G524" s="101">
        <v>6.15</v>
      </c>
      <c r="H524" s="101">
        <v>48585</v>
      </c>
      <c r="I524" s="100" t="s">
        <v>1056</v>
      </c>
      <c r="J524" s="101">
        <v>2.73</v>
      </c>
      <c r="K524" s="101">
        <v>21619.93</v>
      </c>
      <c r="L524" s="100" t="s">
        <v>395</v>
      </c>
      <c r="M524" s="100">
        <v>26912.14</v>
      </c>
      <c r="N524" s="121">
        <v>6.9699999999999998E-2</v>
      </c>
    </row>
    <row r="525" spans="3:14" x14ac:dyDescent="0.25">
      <c r="C525" s="99">
        <v>408</v>
      </c>
      <c r="D525" s="100" t="s">
        <v>930</v>
      </c>
      <c r="E525" s="100">
        <v>70</v>
      </c>
      <c r="F525" s="100" t="s">
        <v>989</v>
      </c>
      <c r="G525" s="101">
        <v>6.15</v>
      </c>
      <c r="H525" s="101">
        <v>43050</v>
      </c>
      <c r="I525" s="100" t="s">
        <v>1056</v>
      </c>
      <c r="J525" s="101">
        <v>1.42</v>
      </c>
      <c r="K525" s="101">
        <v>9986.9</v>
      </c>
      <c r="L525" s="100" t="s">
        <v>395</v>
      </c>
      <c r="M525" s="100">
        <v>33016.199999999997</v>
      </c>
      <c r="N525" s="121">
        <v>0.1076</v>
      </c>
    </row>
    <row r="526" spans="3:14" x14ac:dyDescent="0.25">
      <c r="C526" s="99">
        <v>409</v>
      </c>
      <c r="D526" s="100" t="s">
        <v>930</v>
      </c>
      <c r="E526" s="100">
        <v>72</v>
      </c>
      <c r="F526" s="100" t="s">
        <v>1019</v>
      </c>
      <c r="G526" s="101">
        <v>6.1</v>
      </c>
      <c r="H526" s="101">
        <v>43920</v>
      </c>
      <c r="I526" s="100" t="s">
        <v>1056</v>
      </c>
      <c r="J526" s="101">
        <v>1.63</v>
      </c>
      <c r="K526" s="101">
        <v>11784.24</v>
      </c>
      <c r="L526" s="100" t="s">
        <v>395</v>
      </c>
      <c r="M526" s="100">
        <v>32087.52</v>
      </c>
      <c r="N526" s="121">
        <v>9.9299999999999999E-2</v>
      </c>
    </row>
    <row r="527" spans="3:14" x14ac:dyDescent="0.25">
      <c r="C527" s="99">
        <v>410</v>
      </c>
      <c r="D527" s="100" t="s">
        <v>930</v>
      </c>
      <c r="E527" s="100">
        <v>86</v>
      </c>
      <c r="F527" s="100" t="s">
        <v>1023</v>
      </c>
      <c r="G527" s="101">
        <v>5.15</v>
      </c>
      <c r="H527" s="101">
        <v>44290</v>
      </c>
      <c r="I527" s="100" t="s">
        <v>1056</v>
      </c>
      <c r="J527" s="101">
        <v>1.24</v>
      </c>
      <c r="K527" s="101">
        <v>10721.62</v>
      </c>
      <c r="L527" s="100" t="s">
        <v>395</v>
      </c>
      <c r="M527" s="100">
        <v>33510.76</v>
      </c>
      <c r="N527" s="121">
        <v>8.8900000000000007E-2</v>
      </c>
    </row>
    <row r="528" spans="3:14" x14ac:dyDescent="0.25">
      <c r="C528" s="99">
        <v>411</v>
      </c>
      <c r="D528" s="100" t="s">
        <v>930</v>
      </c>
      <c r="E528" s="100">
        <v>75</v>
      </c>
      <c r="F528" s="100" t="s">
        <v>1025</v>
      </c>
      <c r="G528" s="101">
        <v>6.1</v>
      </c>
      <c r="H528" s="101">
        <v>45750</v>
      </c>
      <c r="I528" s="100" t="s">
        <v>1056</v>
      </c>
      <c r="J528" s="101">
        <v>3.1</v>
      </c>
      <c r="K528" s="101">
        <v>23300.25</v>
      </c>
      <c r="L528" s="100" t="s">
        <v>395</v>
      </c>
      <c r="M528" s="100">
        <v>22399.5</v>
      </c>
      <c r="N528" s="121">
        <v>5.9900000000000002E-2</v>
      </c>
    </row>
    <row r="529" spans="3:14" x14ac:dyDescent="0.25">
      <c r="C529" s="99">
        <v>412</v>
      </c>
      <c r="D529" s="100" t="s">
        <v>930</v>
      </c>
      <c r="E529" s="100">
        <v>69</v>
      </c>
      <c r="F529" s="100" t="s">
        <v>1455</v>
      </c>
      <c r="G529" s="101">
        <v>7.4</v>
      </c>
      <c r="H529" s="101">
        <v>51060</v>
      </c>
      <c r="I529" s="100" t="s">
        <v>1056</v>
      </c>
      <c r="J529" s="101">
        <v>16.350000000000001</v>
      </c>
      <c r="K529" s="101">
        <v>112861.23</v>
      </c>
      <c r="L529" s="100" t="s">
        <v>395</v>
      </c>
      <c r="M529" s="100">
        <v>-61847.46</v>
      </c>
      <c r="N529" s="121">
        <v>-0.153</v>
      </c>
    </row>
    <row r="530" spans="3:14" x14ac:dyDescent="0.25">
      <c r="C530" s="99">
        <v>413</v>
      </c>
      <c r="D530" s="100" t="s">
        <v>930</v>
      </c>
      <c r="E530" s="100">
        <v>68</v>
      </c>
      <c r="F530" s="100" t="s">
        <v>1040</v>
      </c>
      <c r="G530" s="101">
        <v>7.45</v>
      </c>
      <c r="H530" s="101">
        <v>50660</v>
      </c>
      <c r="I530" s="100" t="s">
        <v>1056</v>
      </c>
      <c r="J530" s="101">
        <v>16.2</v>
      </c>
      <c r="K530" s="101">
        <v>110205.56</v>
      </c>
      <c r="L530" s="100" t="s">
        <v>395</v>
      </c>
      <c r="M530" s="100">
        <v>-59591.12</v>
      </c>
      <c r="N530" s="121">
        <v>-0.1447</v>
      </c>
    </row>
    <row r="531" spans="3:14" ht="15.75" thickBot="1" x14ac:dyDescent="0.3">
      <c r="C531" s="104">
        <v>414</v>
      </c>
      <c r="D531" s="105" t="s">
        <v>930</v>
      </c>
      <c r="E531" s="105">
        <v>76</v>
      </c>
      <c r="F531" s="105" t="s">
        <v>1041</v>
      </c>
      <c r="G531" s="106">
        <v>6.7</v>
      </c>
      <c r="H531" s="106">
        <v>50920</v>
      </c>
      <c r="I531" s="105" t="s">
        <v>1056</v>
      </c>
      <c r="J531" s="106">
        <v>15.6</v>
      </c>
      <c r="K531" s="106">
        <v>118610.92</v>
      </c>
      <c r="L531" s="105" t="s">
        <v>395</v>
      </c>
      <c r="M531" s="105">
        <v>-67741.84</v>
      </c>
      <c r="N531" s="122">
        <v>-0.14779999999999999</v>
      </c>
    </row>
    <row r="532" spans="3:14" x14ac:dyDescent="0.25">
      <c r="C532" s="94">
        <v>415</v>
      </c>
      <c r="D532" s="95" t="s">
        <v>1323</v>
      </c>
      <c r="E532" s="95">
        <v>5</v>
      </c>
      <c r="F532" s="95" t="s">
        <v>476</v>
      </c>
      <c r="G532" s="96">
        <v>19.3</v>
      </c>
      <c r="H532" s="96">
        <v>9650</v>
      </c>
      <c r="I532" s="95" t="s">
        <v>489</v>
      </c>
      <c r="J532" s="96">
        <v>33</v>
      </c>
      <c r="K532" s="96">
        <v>16503.349999999999</v>
      </c>
      <c r="L532" s="95" t="s">
        <v>623</v>
      </c>
      <c r="M532" s="95">
        <v>-6856.7</v>
      </c>
      <c r="N532" s="120">
        <v>-7.5899999999999995E-2</v>
      </c>
    </row>
    <row r="533" spans="3:14" x14ac:dyDescent="0.25">
      <c r="C533" s="99">
        <v>416</v>
      </c>
      <c r="D533" s="100" t="s">
        <v>1323</v>
      </c>
      <c r="E533" s="100">
        <v>5</v>
      </c>
      <c r="F533" s="100" t="s">
        <v>434</v>
      </c>
      <c r="G533" s="101">
        <v>18.7</v>
      </c>
      <c r="H533" s="101">
        <v>9350</v>
      </c>
      <c r="I533" s="100" t="s">
        <v>489</v>
      </c>
      <c r="J533" s="101">
        <v>30.6</v>
      </c>
      <c r="K533" s="101">
        <v>15303.35</v>
      </c>
      <c r="L533" s="100" t="s">
        <v>623</v>
      </c>
      <c r="M533" s="100">
        <v>-5956.7</v>
      </c>
      <c r="N533" s="121">
        <v>-6.7599999999999993E-2</v>
      </c>
    </row>
    <row r="534" spans="3:14" x14ac:dyDescent="0.25">
      <c r="C534" s="99">
        <v>417</v>
      </c>
      <c r="D534" s="100" t="s">
        <v>1323</v>
      </c>
      <c r="E534" s="100">
        <v>6</v>
      </c>
      <c r="F534" s="100" t="s">
        <v>452</v>
      </c>
      <c r="G534" s="101">
        <v>17.399999999999999</v>
      </c>
      <c r="H534" s="101">
        <v>10440</v>
      </c>
      <c r="I534" s="100" t="s">
        <v>489</v>
      </c>
      <c r="J534" s="101">
        <v>34</v>
      </c>
      <c r="K534" s="101">
        <v>20404.02</v>
      </c>
      <c r="L534" s="100" t="s">
        <v>623</v>
      </c>
      <c r="M534" s="100">
        <v>-9968.0400000000009</v>
      </c>
      <c r="N534" s="121">
        <v>-8.8599999999999998E-2</v>
      </c>
    </row>
    <row r="535" spans="3:14" x14ac:dyDescent="0.25">
      <c r="C535" s="99">
        <v>418</v>
      </c>
      <c r="D535" s="100" t="s">
        <v>429</v>
      </c>
      <c r="E535" s="100">
        <v>4</v>
      </c>
      <c r="F535" s="100" t="s">
        <v>430</v>
      </c>
      <c r="G535" s="101">
        <v>22.5</v>
      </c>
      <c r="H535" s="101">
        <v>9000</v>
      </c>
      <c r="I535" s="100" t="s">
        <v>1233</v>
      </c>
      <c r="J535" s="101">
        <v>26.6</v>
      </c>
      <c r="K535" s="101">
        <v>10642.68</v>
      </c>
      <c r="L535" s="100" t="s">
        <v>623</v>
      </c>
      <c r="M535" s="100">
        <v>-1645.36</v>
      </c>
      <c r="N535" s="121">
        <v>-1.7299999999999999E-2</v>
      </c>
    </row>
    <row r="536" spans="3:14" x14ac:dyDescent="0.25">
      <c r="C536" s="99">
        <v>419</v>
      </c>
      <c r="D536" s="100" t="s">
        <v>1325</v>
      </c>
      <c r="E536" s="100">
        <v>6</v>
      </c>
      <c r="F536" s="100" t="s">
        <v>1240</v>
      </c>
      <c r="G536" s="101">
        <v>21.9</v>
      </c>
      <c r="H536" s="101">
        <v>13140</v>
      </c>
      <c r="I536" s="100" t="s">
        <v>1326</v>
      </c>
      <c r="J536" s="101">
        <v>36.4</v>
      </c>
      <c r="K536" s="101">
        <v>21844.02</v>
      </c>
      <c r="L536" s="100" t="s">
        <v>623</v>
      </c>
      <c r="M536" s="100">
        <v>-8708.0400000000009</v>
      </c>
      <c r="N536" s="121">
        <v>-6.6500000000000004E-2</v>
      </c>
    </row>
    <row r="537" spans="3:14" x14ac:dyDescent="0.25">
      <c r="C537" s="99">
        <v>420</v>
      </c>
      <c r="D537" s="100" t="s">
        <v>508</v>
      </c>
      <c r="E537" s="100">
        <v>33</v>
      </c>
      <c r="F537" s="100" t="s">
        <v>572</v>
      </c>
      <c r="G537" s="101">
        <v>6</v>
      </c>
      <c r="H537" s="101">
        <v>19800</v>
      </c>
      <c r="I537" s="100" t="s">
        <v>622</v>
      </c>
      <c r="J537" s="101">
        <v>1.51</v>
      </c>
      <c r="K537" s="101">
        <v>5005.1099999999997</v>
      </c>
      <c r="L537" s="100" t="s">
        <v>623</v>
      </c>
      <c r="M537" s="100">
        <v>14772.78</v>
      </c>
      <c r="N537" s="121">
        <v>9.1399999999999995E-2</v>
      </c>
    </row>
    <row r="538" spans="3:14" x14ac:dyDescent="0.25">
      <c r="C538" s="99">
        <v>421</v>
      </c>
      <c r="D538" s="100" t="s">
        <v>519</v>
      </c>
      <c r="E538" s="100">
        <v>49</v>
      </c>
      <c r="F538" s="100" t="s">
        <v>550</v>
      </c>
      <c r="G538" s="101">
        <v>4.0999999999999996</v>
      </c>
      <c r="H538" s="101">
        <v>20090</v>
      </c>
      <c r="I538" s="100" t="s">
        <v>622</v>
      </c>
      <c r="J538" s="101">
        <v>0.83</v>
      </c>
      <c r="K538" s="101">
        <v>4099.83</v>
      </c>
      <c r="L538" s="100" t="s">
        <v>623</v>
      </c>
      <c r="M538" s="100">
        <v>15957.34</v>
      </c>
      <c r="N538" s="121">
        <v>0.10539999999999999</v>
      </c>
    </row>
    <row r="539" spans="3:14" x14ac:dyDescent="0.25">
      <c r="C539" s="99">
        <v>422</v>
      </c>
      <c r="D539" s="100" t="s">
        <v>508</v>
      </c>
      <c r="E539" s="100">
        <v>43</v>
      </c>
      <c r="F539" s="100" t="s">
        <v>561</v>
      </c>
      <c r="G539" s="101">
        <v>4.75</v>
      </c>
      <c r="H539" s="101">
        <v>20425</v>
      </c>
      <c r="I539" s="100" t="s">
        <v>622</v>
      </c>
      <c r="J539" s="101">
        <v>0.84</v>
      </c>
      <c r="K539" s="101">
        <v>3640.81</v>
      </c>
      <c r="L539" s="100" t="s">
        <v>623</v>
      </c>
      <c r="M539" s="100">
        <v>16755.38</v>
      </c>
      <c r="N539" s="121">
        <v>8.6099999999999996E-2</v>
      </c>
    </row>
    <row r="540" spans="3:14" x14ac:dyDescent="0.25">
      <c r="C540" s="99">
        <v>423</v>
      </c>
      <c r="D540" s="100" t="s">
        <v>519</v>
      </c>
      <c r="E540" s="100">
        <v>59</v>
      </c>
      <c r="F540" s="100" t="s">
        <v>570</v>
      </c>
      <c r="G540" s="101">
        <v>3.6</v>
      </c>
      <c r="H540" s="101">
        <v>21240</v>
      </c>
      <c r="I540" s="100" t="s">
        <v>622</v>
      </c>
      <c r="J540" s="101">
        <v>1</v>
      </c>
      <c r="K540" s="101">
        <v>5939.53</v>
      </c>
      <c r="L540" s="100" t="s">
        <v>623</v>
      </c>
      <c r="M540" s="100">
        <v>15260.94</v>
      </c>
      <c r="N540" s="121">
        <v>7.9799999999999996E-2</v>
      </c>
    </row>
    <row r="541" spans="3:14" x14ac:dyDescent="0.25">
      <c r="C541" s="99">
        <v>424</v>
      </c>
      <c r="D541" s="100" t="s">
        <v>519</v>
      </c>
      <c r="E541" s="100">
        <v>58</v>
      </c>
      <c r="F541" s="100" t="s">
        <v>604</v>
      </c>
      <c r="G541" s="101">
        <v>3.6</v>
      </c>
      <c r="H541" s="101">
        <v>20880</v>
      </c>
      <c r="I541" s="100" t="s">
        <v>622</v>
      </c>
      <c r="J541" s="101">
        <v>4.95</v>
      </c>
      <c r="K541" s="101">
        <v>28748.86</v>
      </c>
      <c r="L541" s="100" t="s">
        <v>623</v>
      </c>
      <c r="M541" s="100">
        <v>-7907.72</v>
      </c>
      <c r="N541" s="121">
        <v>-3.5499999999999997E-2</v>
      </c>
    </row>
    <row r="542" spans="3:14" x14ac:dyDescent="0.25">
      <c r="C542" s="99">
        <v>425</v>
      </c>
      <c r="D542" s="100" t="s">
        <v>508</v>
      </c>
      <c r="E542" s="100">
        <v>36</v>
      </c>
      <c r="F542" s="100" t="s">
        <v>621</v>
      </c>
      <c r="G542" s="101">
        <v>5.9</v>
      </c>
      <c r="H542" s="101">
        <v>21240</v>
      </c>
      <c r="I542" s="100" t="s">
        <v>622</v>
      </c>
      <c r="J542" s="101">
        <v>10.15</v>
      </c>
      <c r="K542" s="101">
        <v>36564.120000000003</v>
      </c>
      <c r="L542" s="100" t="s">
        <v>623</v>
      </c>
      <c r="M542" s="100">
        <v>-15348.24</v>
      </c>
      <c r="N542" s="121">
        <v>-6.6500000000000004E-2</v>
      </c>
    </row>
    <row r="543" spans="3:14" x14ac:dyDescent="0.25">
      <c r="C543" s="99">
        <v>426</v>
      </c>
      <c r="D543" s="100" t="s">
        <v>589</v>
      </c>
      <c r="E543" s="100">
        <v>17</v>
      </c>
      <c r="F543" s="100" t="s">
        <v>643</v>
      </c>
      <c r="G543" s="101">
        <v>12.9</v>
      </c>
      <c r="H543" s="101">
        <v>21930</v>
      </c>
      <c r="I543" s="100" t="s">
        <v>691</v>
      </c>
      <c r="J543" s="101">
        <v>4.95</v>
      </c>
      <c r="K543" s="101">
        <v>8426.39</v>
      </c>
      <c r="L543" s="100" t="s">
        <v>623</v>
      </c>
      <c r="M543" s="100">
        <v>13492.22</v>
      </c>
      <c r="N543" s="121">
        <v>6.7799999999999999E-2</v>
      </c>
    </row>
    <row r="544" spans="3:14" x14ac:dyDescent="0.25">
      <c r="C544" s="99">
        <v>427</v>
      </c>
      <c r="D544" s="100" t="s">
        <v>589</v>
      </c>
      <c r="E544" s="100">
        <v>14</v>
      </c>
      <c r="F544" s="100" t="s">
        <v>645</v>
      </c>
      <c r="G544" s="101">
        <v>15.4</v>
      </c>
      <c r="H544" s="101">
        <v>21560</v>
      </c>
      <c r="I544" s="100" t="s">
        <v>691</v>
      </c>
      <c r="J544" s="101">
        <v>6.2</v>
      </c>
      <c r="K544" s="101">
        <v>8689.3799999999992</v>
      </c>
      <c r="L544" s="100" t="s">
        <v>623</v>
      </c>
      <c r="M544" s="100">
        <v>12861.24</v>
      </c>
      <c r="N544" s="121">
        <v>7.6799999999999993E-2</v>
      </c>
    </row>
    <row r="545" spans="3:14" x14ac:dyDescent="0.25">
      <c r="C545" s="99">
        <v>428</v>
      </c>
      <c r="D545" s="100" t="s">
        <v>589</v>
      </c>
      <c r="E545" s="100">
        <v>18</v>
      </c>
      <c r="F545" s="100" t="s">
        <v>641</v>
      </c>
      <c r="G545" s="101">
        <v>11.95</v>
      </c>
      <c r="H545" s="101">
        <v>21510</v>
      </c>
      <c r="I545" s="100" t="s">
        <v>691</v>
      </c>
      <c r="J545" s="101">
        <v>3.95</v>
      </c>
      <c r="K545" s="101">
        <v>7122.06</v>
      </c>
      <c r="L545" s="100" t="s">
        <v>623</v>
      </c>
      <c r="M545" s="100">
        <v>14375.88</v>
      </c>
      <c r="N545" s="121">
        <v>7.0599999999999996E-2</v>
      </c>
    </row>
    <row r="546" spans="3:14" x14ac:dyDescent="0.25">
      <c r="C546" s="99">
        <v>429</v>
      </c>
      <c r="D546" s="100" t="s">
        <v>589</v>
      </c>
      <c r="E546" s="100">
        <v>17</v>
      </c>
      <c r="F546" s="100" t="s">
        <v>646</v>
      </c>
      <c r="G546" s="101">
        <v>12.85</v>
      </c>
      <c r="H546" s="101">
        <v>21845</v>
      </c>
      <c r="I546" s="100" t="s">
        <v>691</v>
      </c>
      <c r="J546" s="101">
        <v>1.55</v>
      </c>
      <c r="K546" s="101">
        <v>2646.39</v>
      </c>
      <c r="L546" s="100" t="s">
        <v>623</v>
      </c>
      <c r="M546" s="100">
        <v>19187.22</v>
      </c>
      <c r="N546" s="121">
        <v>9.2399999999999996E-2</v>
      </c>
    </row>
    <row r="547" spans="3:14" x14ac:dyDescent="0.25">
      <c r="C547" s="99">
        <v>430</v>
      </c>
      <c r="D547" s="100" t="s">
        <v>589</v>
      </c>
      <c r="E547" s="100">
        <v>16</v>
      </c>
      <c r="F547" s="100" t="s">
        <v>614</v>
      </c>
      <c r="G547" s="101">
        <v>14.15</v>
      </c>
      <c r="H547" s="101">
        <v>22640</v>
      </c>
      <c r="I547" s="100" t="s">
        <v>691</v>
      </c>
      <c r="J547" s="101">
        <v>2.3199999999999998</v>
      </c>
      <c r="K547" s="101">
        <v>3722.72</v>
      </c>
      <c r="L547" s="100" t="s">
        <v>623</v>
      </c>
      <c r="M547" s="100">
        <v>18906.560000000001</v>
      </c>
      <c r="N547" s="121">
        <v>9.3899999999999997E-2</v>
      </c>
    </row>
    <row r="548" spans="3:14" x14ac:dyDescent="0.25">
      <c r="C548" s="99">
        <v>431</v>
      </c>
      <c r="D548" s="100" t="s">
        <v>589</v>
      </c>
      <c r="E548" s="100">
        <v>15</v>
      </c>
      <c r="F548" s="100" t="s">
        <v>649</v>
      </c>
      <c r="G548" s="101">
        <v>14.9</v>
      </c>
      <c r="H548" s="101">
        <v>22350</v>
      </c>
      <c r="I548" s="100" t="s">
        <v>691</v>
      </c>
      <c r="J548" s="101">
        <v>7.7</v>
      </c>
      <c r="K548" s="101">
        <v>11560.05</v>
      </c>
      <c r="L548" s="100" t="s">
        <v>623</v>
      </c>
      <c r="M548" s="100">
        <v>10779.9</v>
      </c>
      <c r="N548" s="121">
        <v>5.74E-2</v>
      </c>
    </row>
    <row r="549" spans="3:14" x14ac:dyDescent="0.25">
      <c r="C549" s="99">
        <v>432</v>
      </c>
      <c r="D549" s="100" t="s">
        <v>589</v>
      </c>
      <c r="E549" s="100">
        <v>17</v>
      </c>
      <c r="F549" s="100" t="s">
        <v>620</v>
      </c>
      <c r="G549" s="101">
        <v>14.15</v>
      </c>
      <c r="H549" s="101">
        <v>24055</v>
      </c>
      <c r="I549" s="100" t="s">
        <v>691</v>
      </c>
      <c r="J549" s="101">
        <v>9.5500000000000007</v>
      </c>
      <c r="K549" s="101">
        <v>16246.39</v>
      </c>
      <c r="L549" s="100" t="s">
        <v>623</v>
      </c>
      <c r="M549" s="100">
        <v>7797.22</v>
      </c>
      <c r="N549" s="121">
        <v>3.5099999999999999E-2</v>
      </c>
    </row>
    <row r="550" spans="3:14" x14ac:dyDescent="0.25">
      <c r="C550" s="99">
        <v>433</v>
      </c>
      <c r="D550" s="100" t="s">
        <v>589</v>
      </c>
      <c r="E550" s="100">
        <v>17</v>
      </c>
      <c r="F550" s="100" t="s">
        <v>656</v>
      </c>
      <c r="G550" s="101">
        <v>13.5</v>
      </c>
      <c r="H550" s="101">
        <v>22950</v>
      </c>
      <c r="I550" s="100" t="s">
        <v>691</v>
      </c>
      <c r="J550" s="101">
        <v>3.35</v>
      </c>
      <c r="K550" s="101">
        <v>5706.39</v>
      </c>
      <c r="L550" s="100" t="s">
        <v>623</v>
      </c>
      <c r="M550" s="100">
        <v>17232.22</v>
      </c>
      <c r="N550" s="121">
        <v>7.7100000000000002E-2</v>
      </c>
    </row>
    <row r="551" spans="3:14" x14ac:dyDescent="0.25">
      <c r="C551" s="99">
        <v>434</v>
      </c>
      <c r="D551" s="100" t="s">
        <v>529</v>
      </c>
      <c r="E551" s="100">
        <v>15</v>
      </c>
      <c r="F551" s="100" t="s">
        <v>653</v>
      </c>
      <c r="G551" s="101">
        <v>15</v>
      </c>
      <c r="H551" s="101">
        <v>22500</v>
      </c>
      <c r="I551" s="100" t="s">
        <v>694</v>
      </c>
      <c r="J551" s="101">
        <v>15</v>
      </c>
      <c r="K551" s="101">
        <v>22510.05</v>
      </c>
      <c r="L551" s="100" t="s">
        <v>623</v>
      </c>
      <c r="M551" s="100">
        <v>-20.100000000000001</v>
      </c>
      <c r="N551" s="121">
        <v>-1E-4</v>
      </c>
    </row>
    <row r="552" spans="3:14" x14ac:dyDescent="0.25">
      <c r="C552" s="99">
        <v>435</v>
      </c>
      <c r="D552" s="100" t="s">
        <v>529</v>
      </c>
      <c r="E552" s="100">
        <v>15</v>
      </c>
      <c r="F552" s="100" t="s">
        <v>633</v>
      </c>
      <c r="G552" s="101">
        <v>14.25</v>
      </c>
      <c r="H552" s="101">
        <v>21375</v>
      </c>
      <c r="I552" s="100" t="s">
        <v>694</v>
      </c>
      <c r="J552" s="101">
        <v>10.95</v>
      </c>
      <c r="K552" s="101">
        <v>16435.05</v>
      </c>
      <c r="L552" s="100" t="s">
        <v>623</v>
      </c>
      <c r="M552" s="100">
        <v>4929.8999999999996</v>
      </c>
      <c r="N552" s="121">
        <v>2.18E-2</v>
      </c>
    </row>
    <row r="553" spans="3:14" x14ac:dyDescent="0.25">
      <c r="C553" s="99">
        <v>436</v>
      </c>
      <c r="D553" s="100" t="s">
        <v>529</v>
      </c>
      <c r="E553" s="100">
        <v>13</v>
      </c>
      <c r="F553" s="100" t="s">
        <v>1350</v>
      </c>
      <c r="G553" s="101">
        <v>15.85</v>
      </c>
      <c r="H553" s="101">
        <v>20605</v>
      </c>
      <c r="I553" s="100" t="s">
        <v>694</v>
      </c>
      <c r="J553" s="101">
        <v>22.8</v>
      </c>
      <c r="K553" s="101">
        <v>29648.71</v>
      </c>
      <c r="L553" s="100" t="s">
        <v>623</v>
      </c>
      <c r="M553" s="100">
        <v>-9052.42</v>
      </c>
      <c r="N553" s="121">
        <v>-4.3799999999999999E-2</v>
      </c>
    </row>
    <row r="554" spans="3:14" x14ac:dyDescent="0.25">
      <c r="C554" s="99">
        <v>437</v>
      </c>
      <c r="D554" s="100" t="s">
        <v>529</v>
      </c>
      <c r="E554" s="100">
        <v>14</v>
      </c>
      <c r="F554" s="100" t="s">
        <v>1351</v>
      </c>
      <c r="G554" s="101">
        <v>16.350000000000001</v>
      </c>
      <c r="H554" s="101">
        <v>22890</v>
      </c>
      <c r="I554" s="100" t="s">
        <v>694</v>
      </c>
      <c r="J554" s="101">
        <v>25.3</v>
      </c>
      <c r="K554" s="101">
        <v>35429.379999999997</v>
      </c>
      <c r="L554" s="100" t="s">
        <v>623</v>
      </c>
      <c r="M554" s="100">
        <v>-12548.76</v>
      </c>
      <c r="N554" s="121">
        <v>-5.4800000000000001E-2</v>
      </c>
    </row>
    <row r="555" spans="3:14" x14ac:dyDescent="0.25">
      <c r="C555" s="99">
        <v>438</v>
      </c>
      <c r="D555" s="100" t="s">
        <v>529</v>
      </c>
      <c r="E555" s="100">
        <v>15</v>
      </c>
      <c r="F555" s="100" t="s">
        <v>1352</v>
      </c>
      <c r="G555" s="101">
        <v>15.05</v>
      </c>
      <c r="H555" s="101">
        <v>22575</v>
      </c>
      <c r="I555" s="100" t="s">
        <v>694</v>
      </c>
      <c r="J555" s="101">
        <v>20.45</v>
      </c>
      <c r="K555" s="101">
        <v>30685.05</v>
      </c>
      <c r="L555" s="100" t="s">
        <v>623</v>
      </c>
      <c r="M555" s="100">
        <v>-8120.1</v>
      </c>
      <c r="N555" s="121">
        <v>-3.49E-2</v>
      </c>
    </row>
    <row r="556" spans="3:14" x14ac:dyDescent="0.25">
      <c r="C556" s="99">
        <v>439</v>
      </c>
      <c r="D556" s="100" t="s">
        <v>529</v>
      </c>
      <c r="E556" s="100">
        <v>15</v>
      </c>
      <c r="F556" s="100" t="s">
        <v>1353</v>
      </c>
      <c r="G556" s="101">
        <v>14.6</v>
      </c>
      <c r="H556" s="101">
        <v>21900</v>
      </c>
      <c r="I556" s="100" t="s">
        <v>694</v>
      </c>
      <c r="J556" s="101">
        <v>18.2</v>
      </c>
      <c r="K556" s="101">
        <v>27310.05</v>
      </c>
      <c r="L556" s="100" t="s">
        <v>623</v>
      </c>
      <c r="M556" s="100">
        <v>-5420.1</v>
      </c>
      <c r="N556" s="121">
        <v>-2.4E-2</v>
      </c>
    </row>
    <row r="557" spans="3:14" x14ac:dyDescent="0.25">
      <c r="C557" s="99">
        <v>440</v>
      </c>
      <c r="D557" s="100" t="s">
        <v>529</v>
      </c>
      <c r="E557" s="100">
        <v>16</v>
      </c>
      <c r="F557" s="100" t="s">
        <v>671</v>
      </c>
      <c r="G557" s="101">
        <v>17.3</v>
      </c>
      <c r="H557" s="101">
        <v>27680</v>
      </c>
      <c r="I557" s="100" t="s">
        <v>694</v>
      </c>
      <c r="J557" s="101">
        <v>28</v>
      </c>
      <c r="K557" s="101">
        <v>44810.720000000001</v>
      </c>
      <c r="L557" s="100" t="s">
        <v>623</v>
      </c>
      <c r="M557" s="100">
        <v>-17141.439999999999</v>
      </c>
      <c r="N557" s="121">
        <v>-6.3899999999999998E-2</v>
      </c>
    </row>
    <row r="558" spans="3:14" x14ac:dyDescent="0.25">
      <c r="C558" s="99">
        <v>441</v>
      </c>
      <c r="D558" s="100" t="s">
        <v>529</v>
      </c>
      <c r="E558" s="100">
        <v>14</v>
      </c>
      <c r="F558" s="100" t="s">
        <v>679</v>
      </c>
      <c r="G558" s="101">
        <v>20.149999999999999</v>
      </c>
      <c r="H558" s="101">
        <v>28210</v>
      </c>
      <c r="I558" s="100" t="s">
        <v>694</v>
      </c>
      <c r="J558" s="101">
        <v>30.6</v>
      </c>
      <c r="K558" s="101">
        <v>42849.38</v>
      </c>
      <c r="L558" s="100" t="s">
        <v>623</v>
      </c>
      <c r="M558" s="100">
        <v>-14648.76</v>
      </c>
      <c r="N558" s="121">
        <v>-6.5500000000000003E-2</v>
      </c>
    </row>
    <row r="559" spans="3:14" x14ac:dyDescent="0.25">
      <c r="C559" s="99">
        <v>442</v>
      </c>
      <c r="D559" s="100" t="s">
        <v>706</v>
      </c>
      <c r="E559" s="100">
        <v>39</v>
      </c>
      <c r="F559" s="100" t="s">
        <v>707</v>
      </c>
      <c r="G559" s="101">
        <v>7.1</v>
      </c>
      <c r="H559" s="101">
        <v>27690</v>
      </c>
      <c r="I559" s="100" t="s">
        <v>708</v>
      </c>
      <c r="J559" s="101">
        <v>9.6</v>
      </c>
      <c r="K559" s="101">
        <v>37466.129999999997</v>
      </c>
      <c r="L559" s="100" t="s">
        <v>623</v>
      </c>
      <c r="M559" s="100">
        <v>-9802.26</v>
      </c>
      <c r="N559" s="121">
        <v>-4.3400000000000001E-2</v>
      </c>
    </row>
    <row r="560" spans="3:14" x14ac:dyDescent="0.25">
      <c r="C560" s="99">
        <v>443</v>
      </c>
      <c r="D560" s="100" t="s">
        <v>706</v>
      </c>
      <c r="E560" s="100">
        <v>45</v>
      </c>
      <c r="F560" s="100" t="s">
        <v>697</v>
      </c>
      <c r="G560" s="101">
        <v>6.3</v>
      </c>
      <c r="H560" s="101">
        <v>28350</v>
      </c>
      <c r="I560" s="100" t="s">
        <v>708</v>
      </c>
      <c r="J560" s="101">
        <v>11.8</v>
      </c>
      <c r="K560" s="101">
        <v>53130.15</v>
      </c>
      <c r="L560" s="100" t="s">
        <v>623</v>
      </c>
      <c r="M560" s="100">
        <v>-24810.3</v>
      </c>
      <c r="N560" s="121">
        <v>-8.6599999999999996E-2</v>
      </c>
    </row>
    <row r="561" spans="3:14" x14ac:dyDescent="0.25">
      <c r="C561" s="99">
        <v>444</v>
      </c>
      <c r="D561" s="100" t="s">
        <v>581</v>
      </c>
      <c r="E561" s="100">
        <v>41</v>
      </c>
      <c r="F561" s="100" t="s">
        <v>710</v>
      </c>
      <c r="G561" s="101">
        <v>7.35</v>
      </c>
      <c r="H561" s="101">
        <v>30135</v>
      </c>
      <c r="I561" s="100" t="s">
        <v>711</v>
      </c>
      <c r="J561" s="101">
        <v>11.9</v>
      </c>
      <c r="K561" s="101">
        <v>48817.47</v>
      </c>
      <c r="L561" s="100" t="s">
        <v>623</v>
      </c>
      <c r="M561" s="100">
        <v>-18709.939999999999</v>
      </c>
      <c r="N561" s="121">
        <v>-0.13980000000000001</v>
      </c>
    </row>
    <row r="562" spans="3:14" x14ac:dyDescent="0.25">
      <c r="C562" s="99">
        <v>445</v>
      </c>
      <c r="D562" s="100" t="s">
        <v>524</v>
      </c>
      <c r="E562" s="100">
        <v>28</v>
      </c>
      <c r="F562" s="100" t="s">
        <v>684</v>
      </c>
      <c r="G562" s="101">
        <v>8.15</v>
      </c>
      <c r="H562" s="101">
        <v>22820</v>
      </c>
      <c r="I562" s="100" t="s">
        <v>713</v>
      </c>
      <c r="J562" s="101">
        <v>5.05</v>
      </c>
      <c r="K562" s="101">
        <v>14158.76</v>
      </c>
      <c r="L562" s="100" t="s">
        <v>623</v>
      </c>
      <c r="M562" s="100">
        <v>8642.48</v>
      </c>
      <c r="N562" s="121">
        <v>4.02E-2</v>
      </c>
    </row>
    <row r="563" spans="3:14" x14ac:dyDescent="0.25">
      <c r="C563" s="99">
        <v>446</v>
      </c>
      <c r="D563" s="100" t="s">
        <v>524</v>
      </c>
      <c r="E563" s="100">
        <v>33</v>
      </c>
      <c r="F563" s="100" t="s">
        <v>680</v>
      </c>
      <c r="G563" s="101">
        <v>7.05</v>
      </c>
      <c r="H563" s="101">
        <v>23265</v>
      </c>
      <c r="I563" s="100" t="s">
        <v>713</v>
      </c>
      <c r="J563" s="101">
        <v>4.0999999999999996</v>
      </c>
      <c r="K563" s="101">
        <v>13552.11</v>
      </c>
      <c r="L563" s="100" t="s">
        <v>623</v>
      </c>
      <c r="M563" s="100">
        <v>9690.7800000000007</v>
      </c>
      <c r="N563" s="121">
        <v>4.0300000000000002E-2</v>
      </c>
    </row>
    <row r="564" spans="3:14" x14ac:dyDescent="0.25">
      <c r="C564" s="99">
        <v>447</v>
      </c>
      <c r="D564" s="100" t="s">
        <v>524</v>
      </c>
      <c r="E564" s="100">
        <v>36</v>
      </c>
      <c r="F564" s="100" t="s">
        <v>682</v>
      </c>
      <c r="G564" s="101">
        <v>6.4</v>
      </c>
      <c r="H564" s="101">
        <v>23040</v>
      </c>
      <c r="I564" s="100" t="s">
        <v>713</v>
      </c>
      <c r="J564" s="101">
        <v>3.25</v>
      </c>
      <c r="K564" s="101">
        <v>11724.12</v>
      </c>
      <c r="L564" s="100" t="s">
        <v>623</v>
      </c>
      <c r="M564" s="100">
        <v>11291.76</v>
      </c>
      <c r="N564" s="121">
        <v>4.5699999999999998E-2</v>
      </c>
    </row>
    <row r="565" spans="3:14" x14ac:dyDescent="0.25">
      <c r="C565" s="99">
        <v>448</v>
      </c>
      <c r="D565" s="100" t="s">
        <v>524</v>
      </c>
      <c r="E565" s="100">
        <v>24</v>
      </c>
      <c r="F565" s="100" t="s">
        <v>683</v>
      </c>
      <c r="G565" s="101">
        <v>9.85</v>
      </c>
      <c r="H565" s="101">
        <v>23640</v>
      </c>
      <c r="I565" s="100" t="s">
        <v>713</v>
      </c>
      <c r="J565" s="101">
        <v>6.4</v>
      </c>
      <c r="K565" s="101">
        <v>15376.08</v>
      </c>
      <c r="L565" s="100" t="s">
        <v>623</v>
      </c>
      <c r="M565" s="100">
        <v>8247.84</v>
      </c>
      <c r="N565" s="121">
        <v>4.2900000000000001E-2</v>
      </c>
    </row>
    <row r="566" spans="3:14" x14ac:dyDescent="0.25">
      <c r="C566" s="99">
        <v>449</v>
      </c>
      <c r="D566" s="100" t="s">
        <v>524</v>
      </c>
      <c r="E566" s="100">
        <v>22</v>
      </c>
      <c r="F566" s="100" t="s">
        <v>712</v>
      </c>
      <c r="G566" s="101">
        <v>10.65</v>
      </c>
      <c r="H566" s="101">
        <v>23430</v>
      </c>
      <c r="I566" s="100" t="s">
        <v>713</v>
      </c>
      <c r="J566" s="101">
        <v>10.4</v>
      </c>
      <c r="K566" s="101">
        <v>22894.74</v>
      </c>
      <c r="L566" s="100" t="s">
        <v>623</v>
      </c>
      <c r="M566" s="100">
        <v>520.52</v>
      </c>
      <c r="N566" s="121">
        <v>3.0000000000000001E-3</v>
      </c>
    </row>
    <row r="567" spans="3:14" x14ac:dyDescent="0.25">
      <c r="C567" s="99">
        <v>450</v>
      </c>
      <c r="D567" s="100" t="s">
        <v>524</v>
      </c>
      <c r="E567" s="100">
        <v>32</v>
      </c>
      <c r="F567" s="100" t="s">
        <v>715</v>
      </c>
      <c r="G567" s="101">
        <v>9.4499999999999993</v>
      </c>
      <c r="H567" s="101">
        <v>30240</v>
      </c>
      <c r="I567" s="100" t="s">
        <v>713</v>
      </c>
      <c r="J567" s="101">
        <v>15.35</v>
      </c>
      <c r="K567" s="101">
        <v>49141.440000000002</v>
      </c>
      <c r="L567" s="100" t="s">
        <v>623</v>
      </c>
      <c r="M567" s="100">
        <v>-18922.88</v>
      </c>
      <c r="N567" s="121">
        <v>-6.5299999999999997E-2</v>
      </c>
    </row>
    <row r="568" spans="3:14" x14ac:dyDescent="0.25">
      <c r="C568" s="99">
        <v>451</v>
      </c>
      <c r="D568" s="100" t="s">
        <v>396</v>
      </c>
      <c r="E568" s="100">
        <v>34</v>
      </c>
      <c r="F568" s="100" t="s">
        <v>716</v>
      </c>
      <c r="G568" s="101">
        <v>8.65</v>
      </c>
      <c r="H568" s="101">
        <v>29410</v>
      </c>
      <c r="I568" s="100" t="s">
        <v>717</v>
      </c>
      <c r="J568" s="101">
        <v>13.35</v>
      </c>
      <c r="K568" s="101">
        <v>45412.78</v>
      </c>
      <c r="L568" s="100" t="s">
        <v>623</v>
      </c>
      <c r="M568" s="100">
        <v>-16025.56</v>
      </c>
      <c r="N568" s="121">
        <v>-5.2999999999999999E-2</v>
      </c>
    </row>
    <row r="569" spans="3:14" x14ac:dyDescent="0.25">
      <c r="C569" s="99">
        <v>452</v>
      </c>
      <c r="D569" s="100" t="s">
        <v>396</v>
      </c>
      <c r="E569" s="100">
        <v>36</v>
      </c>
      <c r="F569" s="100" t="s">
        <v>718</v>
      </c>
      <c r="G569" s="101">
        <v>8.35</v>
      </c>
      <c r="H569" s="101">
        <v>30060</v>
      </c>
      <c r="I569" s="100" t="s">
        <v>717</v>
      </c>
      <c r="J569" s="101">
        <v>14.55</v>
      </c>
      <c r="K569" s="101">
        <v>52404.12</v>
      </c>
      <c r="L569" s="100" t="s">
        <v>623</v>
      </c>
      <c r="M569" s="100">
        <v>-22368.240000000002</v>
      </c>
      <c r="N569" s="121">
        <v>-6.7799999999999999E-2</v>
      </c>
    </row>
    <row r="570" spans="3:14" x14ac:dyDescent="0.25">
      <c r="C570" s="99">
        <v>453</v>
      </c>
      <c r="D570" s="100" t="s">
        <v>508</v>
      </c>
      <c r="E570" s="100">
        <v>49</v>
      </c>
      <c r="F570" s="100" t="s">
        <v>711</v>
      </c>
      <c r="G570" s="101">
        <v>5.9</v>
      </c>
      <c r="H570" s="101">
        <v>28910</v>
      </c>
      <c r="I570" s="100" t="s">
        <v>717</v>
      </c>
      <c r="J570" s="101">
        <v>14.65</v>
      </c>
      <c r="K570" s="101">
        <v>71817.83</v>
      </c>
      <c r="L570" s="100" t="s">
        <v>623</v>
      </c>
      <c r="M570" s="100">
        <v>-42940.66</v>
      </c>
      <c r="N570" s="121">
        <v>-0.13669999999999999</v>
      </c>
    </row>
    <row r="571" spans="3:14" x14ac:dyDescent="0.25">
      <c r="C571" s="99">
        <v>454</v>
      </c>
      <c r="D571" s="100" t="s">
        <v>396</v>
      </c>
      <c r="E571" s="100">
        <v>30</v>
      </c>
      <c r="F571" s="100" t="s">
        <v>720</v>
      </c>
      <c r="G571" s="101">
        <v>9.85</v>
      </c>
      <c r="H571" s="101">
        <v>29550</v>
      </c>
      <c r="I571" s="100" t="s">
        <v>717</v>
      </c>
      <c r="J571" s="101">
        <v>16.3</v>
      </c>
      <c r="K571" s="101">
        <v>48920.1</v>
      </c>
      <c r="L571" s="100" t="s">
        <v>623</v>
      </c>
      <c r="M571" s="100">
        <v>-19390.2</v>
      </c>
      <c r="N571" s="121">
        <v>-7.17E-2</v>
      </c>
    </row>
    <row r="572" spans="3:14" x14ac:dyDescent="0.25">
      <c r="C572" s="99">
        <v>455</v>
      </c>
      <c r="D572" s="100" t="s">
        <v>589</v>
      </c>
      <c r="E572" s="100">
        <v>15</v>
      </c>
      <c r="F572" s="100" t="s">
        <v>1361</v>
      </c>
      <c r="G572" s="101">
        <v>17.899999999999999</v>
      </c>
      <c r="H572" s="101">
        <v>26850</v>
      </c>
      <c r="I572" s="100" t="s">
        <v>725</v>
      </c>
      <c r="J572" s="101">
        <v>21.45</v>
      </c>
      <c r="K572" s="101">
        <v>32185.05</v>
      </c>
      <c r="L572" s="100" t="s">
        <v>623</v>
      </c>
      <c r="M572" s="100">
        <v>-5345.1</v>
      </c>
      <c r="N572" s="121">
        <v>-2.8000000000000001E-2</v>
      </c>
    </row>
    <row r="573" spans="3:14" x14ac:dyDescent="0.25">
      <c r="C573" s="99">
        <v>456</v>
      </c>
      <c r="D573" s="100" t="s">
        <v>589</v>
      </c>
      <c r="E573" s="100">
        <v>14</v>
      </c>
      <c r="F573" s="100" t="s">
        <v>1362</v>
      </c>
      <c r="G573" s="101">
        <v>19.3</v>
      </c>
      <c r="H573" s="101">
        <v>27020</v>
      </c>
      <c r="I573" s="100" t="s">
        <v>725</v>
      </c>
      <c r="J573" s="101">
        <v>27.5</v>
      </c>
      <c r="K573" s="101">
        <v>38509.379999999997</v>
      </c>
      <c r="L573" s="100" t="s">
        <v>623</v>
      </c>
      <c r="M573" s="100">
        <v>-11498.76</v>
      </c>
      <c r="N573" s="121">
        <v>-6.5299999999999997E-2</v>
      </c>
    </row>
    <row r="574" spans="3:14" x14ac:dyDescent="0.25">
      <c r="C574" s="99">
        <v>457</v>
      </c>
      <c r="D574" s="100" t="s">
        <v>589</v>
      </c>
      <c r="E574" s="100">
        <v>17</v>
      </c>
      <c r="F574" s="100" t="s">
        <v>1363</v>
      </c>
      <c r="G574" s="101">
        <v>16.8</v>
      </c>
      <c r="H574" s="101">
        <v>28560</v>
      </c>
      <c r="I574" s="100" t="s">
        <v>725</v>
      </c>
      <c r="J574" s="101">
        <v>25.2</v>
      </c>
      <c r="K574" s="101">
        <v>42851.39</v>
      </c>
      <c r="L574" s="100" t="s">
        <v>623</v>
      </c>
      <c r="M574" s="100">
        <v>-14302.78</v>
      </c>
      <c r="N574" s="121">
        <v>-6.83E-2</v>
      </c>
    </row>
    <row r="575" spans="3:14" x14ac:dyDescent="0.25">
      <c r="C575" s="99">
        <v>458</v>
      </c>
      <c r="D575" s="100" t="s">
        <v>589</v>
      </c>
      <c r="E575" s="100">
        <v>15</v>
      </c>
      <c r="F575" s="100" t="s">
        <v>1364</v>
      </c>
      <c r="G575" s="101">
        <v>18.55</v>
      </c>
      <c r="H575" s="101">
        <v>27825</v>
      </c>
      <c r="I575" s="100" t="s">
        <v>725</v>
      </c>
      <c r="J575" s="101">
        <v>30.2</v>
      </c>
      <c r="K575" s="101">
        <v>45310.05</v>
      </c>
      <c r="L575" s="100" t="s">
        <v>623</v>
      </c>
      <c r="M575" s="100">
        <v>-17495.099999999999</v>
      </c>
      <c r="N575" s="121">
        <v>-8.8700000000000001E-2</v>
      </c>
    </row>
    <row r="576" spans="3:14" x14ac:dyDescent="0.25">
      <c r="C576" s="99">
        <v>459</v>
      </c>
      <c r="D576" s="100" t="s">
        <v>589</v>
      </c>
      <c r="E576" s="100">
        <v>14</v>
      </c>
      <c r="F576" s="100" t="s">
        <v>724</v>
      </c>
      <c r="G576" s="101">
        <v>19.5</v>
      </c>
      <c r="H576" s="101">
        <v>27300</v>
      </c>
      <c r="I576" s="100" t="s">
        <v>725</v>
      </c>
      <c r="J576" s="101">
        <v>32.950000000000003</v>
      </c>
      <c r="K576" s="101">
        <v>46139.38</v>
      </c>
      <c r="L576" s="100" t="s">
        <v>623</v>
      </c>
      <c r="M576" s="100">
        <v>-18848.759999999998</v>
      </c>
      <c r="N576" s="121">
        <v>-9.9400000000000002E-2</v>
      </c>
    </row>
    <row r="577" spans="3:14" x14ac:dyDescent="0.25">
      <c r="C577" s="99">
        <v>460</v>
      </c>
      <c r="D577" s="100" t="s">
        <v>589</v>
      </c>
      <c r="E577" s="100">
        <v>15</v>
      </c>
      <c r="F577" s="100" t="s">
        <v>726</v>
      </c>
      <c r="G577" s="101">
        <v>18.5</v>
      </c>
      <c r="H577" s="101">
        <v>27750</v>
      </c>
      <c r="I577" s="100" t="s">
        <v>725</v>
      </c>
      <c r="J577" s="101">
        <v>35.799999999999997</v>
      </c>
      <c r="K577" s="101">
        <v>53710.05</v>
      </c>
      <c r="L577" s="100" t="s">
        <v>623</v>
      </c>
      <c r="M577" s="100">
        <v>-25970.1</v>
      </c>
      <c r="N577" s="121">
        <v>-0.12239999999999999</v>
      </c>
    </row>
    <row r="578" spans="3:14" x14ac:dyDescent="0.25">
      <c r="C578" s="99">
        <v>461</v>
      </c>
      <c r="D578" s="100" t="s">
        <v>524</v>
      </c>
      <c r="E578" s="100">
        <v>24</v>
      </c>
      <c r="F578" s="100" t="s">
        <v>727</v>
      </c>
      <c r="G578" s="101">
        <v>11.75</v>
      </c>
      <c r="H578" s="101">
        <v>28200</v>
      </c>
      <c r="I578" s="100" t="s">
        <v>725</v>
      </c>
      <c r="J578" s="101">
        <v>18.2</v>
      </c>
      <c r="K578" s="101">
        <v>43696.08</v>
      </c>
      <c r="L578" s="100" t="s">
        <v>623</v>
      </c>
      <c r="M578" s="100">
        <v>-15512.16</v>
      </c>
      <c r="N578" s="121">
        <v>-7.3200000000000001E-2</v>
      </c>
    </row>
    <row r="579" spans="3:14" x14ac:dyDescent="0.25">
      <c r="C579" s="99">
        <v>462</v>
      </c>
      <c r="D579" s="100" t="s">
        <v>589</v>
      </c>
      <c r="E579" s="100">
        <v>15</v>
      </c>
      <c r="F579" s="100" t="s">
        <v>728</v>
      </c>
      <c r="G579" s="101">
        <v>18.850000000000001</v>
      </c>
      <c r="H579" s="101">
        <v>28275</v>
      </c>
      <c r="I579" s="100" t="s">
        <v>725</v>
      </c>
      <c r="J579" s="101">
        <v>38.799999999999997</v>
      </c>
      <c r="K579" s="101">
        <v>58210.05</v>
      </c>
      <c r="L579" s="100" t="s">
        <v>623</v>
      </c>
      <c r="M579" s="100">
        <v>-29945.1</v>
      </c>
      <c r="N579" s="121">
        <v>-0.1366</v>
      </c>
    </row>
    <row r="580" spans="3:14" x14ac:dyDescent="0.25">
      <c r="C580" s="99">
        <v>463</v>
      </c>
      <c r="D580" s="100" t="s">
        <v>524</v>
      </c>
      <c r="E580" s="100">
        <v>29</v>
      </c>
      <c r="F580" s="100" t="s">
        <v>1365</v>
      </c>
      <c r="G580" s="101">
        <v>9.9</v>
      </c>
      <c r="H580" s="101">
        <v>28710</v>
      </c>
      <c r="I580" s="100" t="s">
        <v>725</v>
      </c>
      <c r="J580" s="101">
        <v>16.2</v>
      </c>
      <c r="K580" s="101">
        <v>46999.43</v>
      </c>
      <c r="L580" s="100" t="s">
        <v>623</v>
      </c>
      <c r="M580" s="100">
        <v>-18308.86</v>
      </c>
      <c r="N580" s="121">
        <v>-7.4200000000000002E-2</v>
      </c>
    </row>
    <row r="581" spans="3:14" x14ac:dyDescent="0.25">
      <c r="C581" s="99">
        <v>464</v>
      </c>
      <c r="D581" s="100" t="s">
        <v>589</v>
      </c>
      <c r="E581" s="100">
        <v>24</v>
      </c>
      <c r="F581" s="100" t="s">
        <v>730</v>
      </c>
      <c r="G581" s="101">
        <v>11.7</v>
      </c>
      <c r="H581" s="101">
        <v>28080</v>
      </c>
      <c r="I581" s="100" t="s">
        <v>725</v>
      </c>
      <c r="J581" s="101">
        <v>23</v>
      </c>
      <c r="K581" s="101">
        <v>55216.08</v>
      </c>
      <c r="L581" s="100" t="s">
        <v>623</v>
      </c>
      <c r="M581" s="100">
        <v>-27152.16</v>
      </c>
      <c r="N581" s="121">
        <v>-9.1800000000000007E-2</v>
      </c>
    </row>
    <row r="582" spans="3:14" x14ac:dyDescent="0.25">
      <c r="C582" s="99">
        <v>465</v>
      </c>
      <c r="D582" s="100" t="s">
        <v>736</v>
      </c>
      <c r="E582" s="100">
        <v>19</v>
      </c>
      <c r="F582" s="100" t="s">
        <v>737</v>
      </c>
      <c r="G582" s="101">
        <v>14.45</v>
      </c>
      <c r="H582" s="101">
        <v>27455</v>
      </c>
      <c r="I582" s="100" t="s">
        <v>738</v>
      </c>
      <c r="J582" s="101">
        <v>24.4</v>
      </c>
      <c r="K582" s="101">
        <v>46372.73</v>
      </c>
      <c r="L582" s="100" t="s">
        <v>623</v>
      </c>
      <c r="M582" s="100">
        <v>-18930.46</v>
      </c>
      <c r="N582" s="121">
        <v>-7.0900000000000005E-2</v>
      </c>
    </row>
    <row r="583" spans="3:14" x14ac:dyDescent="0.25">
      <c r="C583" s="99">
        <v>466</v>
      </c>
      <c r="D583" s="100" t="s">
        <v>721</v>
      </c>
      <c r="E583" s="100">
        <v>35</v>
      </c>
      <c r="F583" s="100" t="s">
        <v>695</v>
      </c>
      <c r="G583" s="101">
        <v>8.6999999999999993</v>
      </c>
      <c r="H583" s="101">
        <v>30450</v>
      </c>
      <c r="I583" s="100" t="s">
        <v>740</v>
      </c>
      <c r="J583" s="101">
        <v>7.9</v>
      </c>
      <c r="K583" s="101">
        <v>27673.45</v>
      </c>
      <c r="L583" s="100" t="s">
        <v>623</v>
      </c>
      <c r="M583" s="100">
        <v>2753.1</v>
      </c>
      <c r="N583" s="121">
        <v>1.03E-2</v>
      </c>
    </row>
    <row r="584" spans="3:14" x14ac:dyDescent="0.25">
      <c r="C584" s="99">
        <v>467</v>
      </c>
      <c r="D584" s="100" t="s">
        <v>721</v>
      </c>
      <c r="E584" s="100">
        <v>34</v>
      </c>
      <c r="F584" s="100" t="s">
        <v>739</v>
      </c>
      <c r="G584" s="101">
        <v>8.4</v>
      </c>
      <c r="H584" s="101">
        <v>28560</v>
      </c>
      <c r="I584" s="100" t="s">
        <v>740</v>
      </c>
      <c r="J584" s="101">
        <v>13.4</v>
      </c>
      <c r="K584" s="101">
        <v>45582.78</v>
      </c>
      <c r="L584" s="100" t="s">
        <v>623</v>
      </c>
      <c r="M584" s="100">
        <v>-17045.560000000001</v>
      </c>
      <c r="N584" s="121">
        <v>-5.79E-2</v>
      </c>
    </row>
    <row r="585" spans="3:14" x14ac:dyDescent="0.25">
      <c r="C585" s="99">
        <v>468</v>
      </c>
      <c r="D585" s="100" t="s">
        <v>721</v>
      </c>
      <c r="E585" s="100">
        <v>35</v>
      </c>
      <c r="F585" s="100" t="s">
        <v>722</v>
      </c>
      <c r="G585" s="101">
        <v>8</v>
      </c>
      <c r="H585" s="101">
        <v>28000</v>
      </c>
      <c r="I585" s="100" t="s">
        <v>740</v>
      </c>
      <c r="J585" s="101">
        <v>8.8000000000000007</v>
      </c>
      <c r="K585" s="101">
        <v>30823.45</v>
      </c>
      <c r="L585" s="100" t="s">
        <v>623</v>
      </c>
      <c r="M585" s="100">
        <v>-2846.9</v>
      </c>
      <c r="N585" s="121">
        <v>-1.06E-2</v>
      </c>
    </row>
    <row r="586" spans="3:14" x14ac:dyDescent="0.25">
      <c r="C586" s="99">
        <v>469</v>
      </c>
      <c r="D586" s="100" t="s">
        <v>721</v>
      </c>
      <c r="E586" s="100">
        <v>32</v>
      </c>
      <c r="F586" s="100" t="s">
        <v>741</v>
      </c>
      <c r="G586" s="101">
        <v>8.6</v>
      </c>
      <c r="H586" s="101">
        <v>27520</v>
      </c>
      <c r="I586" s="100" t="s">
        <v>740</v>
      </c>
      <c r="J586" s="101">
        <v>11</v>
      </c>
      <c r="K586" s="101">
        <v>35221.440000000002</v>
      </c>
      <c r="L586" s="100" t="s">
        <v>623</v>
      </c>
      <c r="M586" s="100">
        <v>-7722.88</v>
      </c>
      <c r="N586" s="121">
        <v>-2.9600000000000001E-2</v>
      </c>
    </row>
    <row r="587" spans="3:14" x14ac:dyDescent="0.25">
      <c r="C587" s="99">
        <v>470</v>
      </c>
      <c r="D587" s="100" t="s">
        <v>589</v>
      </c>
      <c r="E587" s="100">
        <v>12</v>
      </c>
      <c r="F587" s="100" t="s">
        <v>742</v>
      </c>
      <c r="G587" s="101">
        <v>21.15</v>
      </c>
      <c r="H587" s="101">
        <v>25380</v>
      </c>
      <c r="I587" s="100" t="s">
        <v>743</v>
      </c>
      <c r="J587" s="101">
        <v>36.799999999999997</v>
      </c>
      <c r="K587" s="101">
        <v>44168.04</v>
      </c>
      <c r="L587" s="100" t="s">
        <v>623</v>
      </c>
      <c r="M587" s="100">
        <v>-18796.080000000002</v>
      </c>
      <c r="N587" s="121">
        <v>-0.11700000000000001</v>
      </c>
    </row>
    <row r="588" spans="3:14" x14ac:dyDescent="0.25">
      <c r="C588" s="99">
        <v>471</v>
      </c>
      <c r="D588" s="100" t="s">
        <v>759</v>
      </c>
      <c r="E588" s="100">
        <v>29</v>
      </c>
      <c r="F588" s="100" t="s">
        <v>760</v>
      </c>
      <c r="G588" s="101">
        <v>9.1999999999999993</v>
      </c>
      <c r="H588" s="101">
        <v>26680</v>
      </c>
      <c r="I588" s="100" t="s">
        <v>761</v>
      </c>
      <c r="J588" s="101">
        <v>15.35</v>
      </c>
      <c r="K588" s="101">
        <v>44534.43</v>
      </c>
      <c r="L588" s="100" t="s">
        <v>623</v>
      </c>
      <c r="M588" s="100">
        <v>-17873.86</v>
      </c>
      <c r="N588" s="121">
        <v>-6.4299999999999996E-2</v>
      </c>
    </row>
    <row r="589" spans="3:14" x14ac:dyDescent="0.25">
      <c r="C589" s="99">
        <v>472</v>
      </c>
      <c r="D589" s="100" t="s">
        <v>1368</v>
      </c>
      <c r="E589" s="100">
        <v>8</v>
      </c>
      <c r="F589" s="100" t="s">
        <v>1369</v>
      </c>
      <c r="G589" s="101">
        <v>31.7</v>
      </c>
      <c r="H589" s="101">
        <v>25360</v>
      </c>
      <c r="I589" s="100" t="s">
        <v>1370</v>
      </c>
      <c r="J589" s="101">
        <v>50.4</v>
      </c>
      <c r="K589" s="101">
        <v>40325.360000000001</v>
      </c>
      <c r="L589" s="100" t="s">
        <v>623</v>
      </c>
      <c r="M589" s="100">
        <v>-14970.72</v>
      </c>
      <c r="N589" s="121">
        <v>-5.7000000000000002E-2</v>
      </c>
    </row>
    <row r="590" spans="3:14" x14ac:dyDescent="0.25">
      <c r="C590" s="99">
        <v>473</v>
      </c>
      <c r="D590" s="100" t="s">
        <v>1368</v>
      </c>
      <c r="E590" s="100">
        <v>9</v>
      </c>
      <c r="F590" s="100" t="s">
        <v>1371</v>
      </c>
      <c r="G590" s="101">
        <v>29.2</v>
      </c>
      <c r="H590" s="101">
        <v>26280</v>
      </c>
      <c r="I590" s="100" t="s">
        <v>1370</v>
      </c>
      <c r="J590" s="101">
        <v>45.8</v>
      </c>
      <c r="K590" s="101">
        <v>41226.03</v>
      </c>
      <c r="L590" s="100" t="s">
        <v>623</v>
      </c>
      <c r="M590" s="100">
        <v>-14952.06</v>
      </c>
      <c r="N590" s="121">
        <v>-5.1799999999999999E-2</v>
      </c>
    </row>
    <row r="591" spans="3:14" x14ac:dyDescent="0.25">
      <c r="C591" s="99">
        <v>474</v>
      </c>
      <c r="D591" s="100" t="s">
        <v>1368</v>
      </c>
      <c r="E591" s="100">
        <v>9</v>
      </c>
      <c r="F591" s="100" t="s">
        <v>1372</v>
      </c>
      <c r="G591" s="101">
        <v>29.7</v>
      </c>
      <c r="H591" s="101">
        <v>26730</v>
      </c>
      <c r="I591" s="100" t="s">
        <v>1370</v>
      </c>
      <c r="J591" s="101">
        <v>41.6</v>
      </c>
      <c r="K591" s="101">
        <v>37446.03</v>
      </c>
      <c r="L591" s="100" t="s">
        <v>623</v>
      </c>
      <c r="M591" s="100">
        <v>-10722.06</v>
      </c>
      <c r="N591" s="121">
        <v>-3.8399999999999997E-2</v>
      </c>
    </row>
    <row r="592" spans="3:14" x14ac:dyDescent="0.25">
      <c r="C592" s="99">
        <v>475</v>
      </c>
      <c r="D592" s="100" t="s">
        <v>1368</v>
      </c>
      <c r="E592" s="100">
        <v>8</v>
      </c>
      <c r="F592" s="100" t="s">
        <v>1373</v>
      </c>
      <c r="G592" s="101">
        <v>32.200000000000003</v>
      </c>
      <c r="H592" s="101">
        <v>25760</v>
      </c>
      <c r="I592" s="100" t="s">
        <v>1370</v>
      </c>
      <c r="J592" s="101">
        <v>54.9</v>
      </c>
      <c r="K592" s="101">
        <v>43925.36</v>
      </c>
      <c r="L592" s="100" t="s">
        <v>623</v>
      </c>
      <c r="M592" s="100">
        <v>-18170.72</v>
      </c>
      <c r="N592" s="121">
        <v>-6.7199999999999996E-2</v>
      </c>
    </row>
    <row r="593" spans="3:14" x14ac:dyDescent="0.25">
      <c r="C593" s="99">
        <v>476</v>
      </c>
      <c r="D593" s="100" t="s">
        <v>1368</v>
      </c>
      <c r="E593" s="100">
        <v>8</v>
      </c>
      <c r="F593" s="100" t="s">
        <v>1374</v>
      </c>
      <c r="G593" s="101">
        <v>33.200000000000003</v>
      </c>
      <c r="H593" s="101">
        <v>26560</v>
      </c>
      <c r="I593" s="100" t="s">
        <v>1370</v>
      </c>
      <c r="J593" s="101">
        <v>60.3</v>
      </c>
      <c r="K593" s="101">
        <v>48245.36</v>
      </c>
      <c r="L593" s="100" t="s">
        <v>623</v>
      </c>
      <c r="M593" s="100">
        <v>-21690.720000000001</v>
      </c>
      <c r="N593" s="121">
        <v>-7.8200000000000006E-2</v>
      </c>
    </row>
    <row r="594" spans="3:14" x14ac:dyDescent="0.25">
      <c r="C594" s="99">
        <v>477</v>
      </c>
      <c r="D594" s="100" t="s">
        <v>797</v>
      </c>
      <c r="E594" s="100">
        <v>67</v>
      </c>
      <c r="F594" s="100" t="s">
        <v>800</v>
      </c>
      <c r="G594" s="101">
        <v>4.1500000000000004</v>
      </c>
      <c r="H594" s="101">
        <v>27805</v>
      </c>
      <c r="I594" s="100" t="s">
        <v>799</v>
      </c>
      <c r="J594" s="101">
        <v>7.45</v>
      </c>
      <c r="K594" s="101">
        <v>49959.89</v>
      </c>
      <c r="L594" s="100" t="s">
        <v>623</v>
      </c>
      <c r="M594" s="100">
        <v>-22199.78</v>
      </c>
      <c r="N594" s="121">
        <v>-7.6399999999999996E-2</v>
      </c>
    </row>
    <row r="595" spans="3:14" x14ac:dyDescent="0.25">
      <c r="C595" s="99">
        <v>478</v>
      </c>
      <c r="D595" s="100" t="s">
        <v>1375</v>
      </c>
      <c r="E595" s="100">
        <v>6</v>
      </c>
      <c r="F595" s="100" t="s">
        <v>774</v>
      </c>
      <c r="G595" s="101">
        <v>51</v>
      </c>
      <c r="H595" s="101">
        <v>30600</v>
      </c>
      <c r="I595" s="100" t="s">
        <v>824</v>
      </c>
      <c r="J595" s="101">
        <v>74.5</v>
      </c>
      <c r="K595" s="101">
        <v>44704.02</v>
      </c>
      <c r="L595" s="100" t="s">
        <v>623</v>
      </c>
      <c r="M595" s="100">
        <v>-14108.04</v>
      </c>
      <c r="N595" s="121">
        <v>-0.2157</v>
      </c>
    </row>
    <row r="596" spans="3:14" x14ac:dyDescent="0.25">
      <c r="C596" s="99">
        <v>479</v>
      </c>
      <c r="D596" s="100" t="s">
        <v>1375</v>
      </c>
      <c r="E596" s="100">
        <v>5</v>
      </c>
      <c r="F596" s="100" t="s">
        <v>1376</v>
      </c>
      <c r="G596" s="101">
        <v>46.5</v>
      </c>
      <c r="H596" s="101">
        <v>23250</v>
      </c>
      <c r="I596" s="100" t="s">
        <v>824</v>
      </c>
      <c r="J596" s="101">
        <v>69.2</v>
      </c>
      <c r="K596" s="101">
        <v>34603.35</v>
      </c>
      <c r="L596" s="100" t="s">
        <v>623</v>
      </c>
      <c r="M596" s="100">
        <v>-11356.7</v>
      </c>
      <c r="N596" s="121">
        <v>-0.20930000000000001</v>
      </c>
    </row>
    <row r="597" spans="3:14" x14ac:dyDescent="0.25">
      <c r="C597" s="99">
        <v>480</v>
      </c>
      <c r="D597" s="100" t="s">
        <v>1375</v>
      </c>
      <c r="E597" s="100">
        <v>7</v>
      </c>
      <c r="F597" s="100" t="s">
        <v>777</v>
      </c>
      <c r="G597" s="101">
        <v>37.5</v>
      </c>
      <c r="H597" s="101">
        <v>26250</v>
      </c>
      <c r="I597" s="100" t="s">
        <v>824</v>
      </c>
      <c r="J597" s="101">
        <v>64.5</v>
      </c>
      <c r="K597" s="101">
        <v>45154.69</v>
      </c>
      <c r="L597" s="100" t="s">
        <v>623</v>
      </c>
      <c r="M597" s="100">
        <v>-18909.38</v>
      </c>
      <c r="N597" s="121">
        <v>-0.24010000000000001</v>
      </c>
    </row>
    <row r="598" spans="3:14" x14ac:dyDescent="0.25">
      <c r="C598" s="99">
        <v>481</v>
      </c>
      <c r="D598" s="100" t="s">
        <v>1375</v>
      </c>
      <c r="E598" s="100">
        <v>8</v>
      </c>
      <c r="F598" s="100" t="s">
        <v>784</v>
      </c>
      <c r="G598" s="101">
        <v>33</v>
      </c>
      <c r="H598" s="101">
        <v>26400</v>
      </c>
      <c r="I598" s="100" t="s">
        <v>824</v>
      </c>
      <c r="J598" s="101">
        <v>59.2</v>
      </c>
      <c r="K598" s="101">
        <v>47365.36</v>
      </c>
      <c r="L598" s="100" t="s">
        <v>623</v>
      </c>
      <c r="M598" s="100">
        <v>-20970.72</v>
      </c>
      <c r="N598" s="121">
        <v>-0.23400000000000001</v>
      </c>
    </row>
    <row r="599" spans="3:14" x14ac:dyDescent="0.25">
      <c r="C599" s="99">
        <v>482</v>
      </c>
      <c r="D599" s="100" t="s">
        <v>1375</v>
      </c>
      <c r="E599" s="100">
        <v>10</v>
      </c>
      <c r="F599" s="100" t="s">
        <v>1377</v>
      </c>
      <c r="G599" s="101">
        <v>27</v>
      </c>
      <c r="H599" s="101">
        <v>27000</v>
      </c>
      <c r="I599" s="100" t="s">
        <v>824</v>
      </c>
      <c r="J599" s="101">
        <v>54.2</v>
      </c>
      <c r="K599" s="101">
        <v>54206.7</v>
      </c>
      <c r="L599" s="100" t="s">
        <v>623</v>
      </c>
      <c r="M599" s="100">
        <v>-27213.4</v>
      </c>
      <c r="N599" s="121">
        <v>-0.24079999999999999</v>
      </c>
    </row>
    <row r="600" spans="3:14" x14ac:dyDescent="0.25">
      <c r="C600" s="99">
        <v>483</v>
      </c>
      <c r="D600" s="100" t="s">
        <v>1375</v>
      </c>
      <c r="E600" s="100">
        <v>12</v>
      </c>
      <c r="F600" s="100" t="s">
        <v>1378</v>
      </c>
      <c r="G600" s="101">
        <v>23</v>
      </c>
      <c r="H600" s="101">
        <v>27600</v>
      </c>
      <c r="I600" s="100" t="s">
        <v>824</v>
      </c>
      <c r="J600" s="101">
        <v>49.4</v>
      </c>
      <c r="K600" s="101">
        <v>59288.04</v>
      </c>
      <c r="L600" s="100" t="s">
        <v>623</v>
      </c>
      <c r="M600" s="100">
        <v>-31696.080000000002</v>
      </c>
      <c r="N600" s="121">
        <v>-0.23580000000000001</v>
      </c>
    </row>
    <row r="601" spans="3:14" x14ac:dyDescent="0.25">
      <c r="C601" s="99">
        <v>484</v>
      </c>
      <c r="D601" s="100" t="s">
        <v>831</v>
      </c>
      <c r="E601" s="100">
        <v>76</v>
      </c>
      <c r="F601" s="100" t="s">
        <v>832</v>
      </c>
      <c r="G601" s="101">
        <v>4</v>
      </c>
      <c r="H601" s="101">
        <v>30400</v>
      </c>
      <c r="I601" s="100" t="s">
        <v>833</v>
      </c>
      <c r="J601" s="101">
        <v>5.5</v>
      </c>
      <c r="K601" s="101">
        <v>41850.92</v>
      </c>
      <c r="L601" s="100" t="s">
        <v>623</v>
      </c>
      <c r="M601" s="100">
        <v>-11501.84</v>
      </c>
      <c r="N601" s="121">
        <v>-4.8800000000000003E-2</v>
      </c>
    </row>
    <row r="602" spans="3:14" x14ac:dyDescent="0.25">
      <c r="C602" s="99">
        <v>485</v>
      </c>
      <c r="D602" s="100" t="s">
        <v>831</v>
      </c>
      <c r="E602" s="100">
        <v>85</v>
      </c>
      <c r="F602" s="100" t="s">
        <v>834</v>
      </c>
      <c r="G602" s="101">
        <v>3.6</v>
      </c>
      <c r="H602" s="101">
        <v>30600</v>
      </c>
      <c r="I602" s="100" t="s">
        <v>833</v>
      </c>
      <c r="J602" s="101">
        <v>4.5999999999999996</v>
      </c>
      <c r="K602" s="101">
        <v>39156.949999999997</v>
      </c>
      <c r="L602" s="100" t="s">
        <v>623</v>
      </c>
      <c r="M602" s="100">
        <v>-8613.9</v>
      </c>
      <c r="N602" s="121">
        <v>-3.2300000000000002E-2</v>
      </c>
    </row>
    <row r="603" spans="3:14" x14ac:dyDescent="0.25">
      <c r="C603" s="99">
        <v>486</v>
      </c>
      <c r="D603" s="100" t="s">
        <v>831</v>
      </c>
      <c r="E603" s="100">
        <v>88</v>
      </c>
      <c r="F603" s="100" t="s">
        <v>835</v>
      </c>
      <c r="G603" s="101">
        <v>3.7</v>
      </c>
      <c r="H603" s="101">
        <v>32560</v>
      </c>
      <c r="I603" s="100" t="s">
        <v>833</v>
      </c>
      <c r="J603" s="101">
        <v>6</v>
      </c>
      <c r="K603" s="101">
        <v>52858.96</v>
      </c>
      <c r="L603" s="100" t="s">
        <v>623</v>
      </c>
      <c r="M603" s="100">
        <v>-20357.919999999998</v>
      </c>
      <c r="N603" s="121">
        <v>-7.1599999999999997E-2</v>
      </c>
    </row>
    <row r="604" spans="3:14" x14ac:dyDescent="0.25">
      <c r="C604" s="99">
        <v>487</v>
      </c>
      <c r="D604" s="100" t="s">
        <v>773</v>
      </c>
      <c r="E604" s="100">
        <v>14</v>
      </c>
      <c r="F604" s="100" t="s">
        <v>740</v>
      </c>
      <c r="G604" s="101">
        <v>18.100000000000001</v>
      </c>
      <c r="H604" s="101">
        <v>25340</v>
      </c>
      <c r="I604" s="100" t="s">
        <v>863</v>
      </c>
      <c r="J604" s="101">
        <v>3.7</v>
      </c>
      <c r="K604" s="101">
        <v>5189.38</v>
      </c>
      <c r="L604" s="100" t="s">
        <v>623</v>
      </c>
      <c r="M604" s="100">
        <v>20141.240000000002</v>
      </c>
      <c r="N604" s="121">
        <v>8.1299999999999997E-2</v>
      </c>
    </row>
    <row r="605" spans="3:14" x14ac:dyDescent="0.25">
      <c r="C605" s="99">
        <v>488</v>
      </c>
      <c r="D605" s="100" t="s">
        <v>773</v>
      </c>
      <c r="E605" s="100">
        <v>14</v>
      </c>
      <c r="F605" s="100" t="s">
        <v>1386</v>
      </c>
      <c r="G605" s="101">
        <v>17.899999999999999</v>
      </c>
      <c r="H605" s="101">
        <v>25060</v>
      </c>
      <c r="I605" s="100" t="s">
        <v>863</v>
      </c>
      <c r="J605" s="101">
        <v>1.95</v>
      </c>
      <c r="K605" s="101">
        <v>2739.38</v>
      </c>
      <c r="L605" s="100" t="s">
        <v>623</v>
      </c>
      <c r="M605" s="100">
        <v>22311.24</v>
      </c>
      <c r="N605" s="121">
        <v>9.5399999999999999E-2</v>
      </c>
    </row>
    <row r="606" spans="3:14" x14ac:dyDescent="0.25">
      <c r="C606" s="99">
        <v>489</v>
      </c>
      <c r="D606" s="100" t="s">
        <v>773</v>
      </c>
      <c r="E606" s="100">
        <v>14</v>
      </c>
      <c r="F606" s="100" t="s">
        <v>778</v>
      </c>
      <c r="G606" s="101">
        <v>18</v>
      </c>
      <c r="H606" s="101">
        <v>25200</v>
      </c>
      <c r="I606" s="100" t="s">
        <v>863</v>
      </c>
      <c r="J606" s="101">
        <v>2.65</v>
      </c>
      <c r="K606" s="101">
        <v>3719.38</v>
      </c>
      <c r="L606" s="100" t="s">
        <v>623</v>
      </c>
      <c r="M606" s="100">
        <v>21471.24</v>
      </c>
      <c r="N606" s="121">
        <v>8.9200000000000002E-2</v>
      </c>
    </row>
    <row r="607" spans="3:14" x14ac:dyDescent="0.25">
      <c r="C607" s="99">
        <v>490</v>
      </c>
      <c r="D607" s="100" t="s">
        <v>773</v>
      </c>
      <c r="E607" s="100">
        <v>13</v>
      </c>
      <c r="F607" s="100" t="s">
        <v>780</v>
      </c>
      <c r="G607" s="101">
        <v>19.399999999999999</v>
      </c>
      <c r="H607" s="101">
        <v>25220</v>
      </c>
      <c r="I607" s="100" t="s">
        <v>863</v>
      </c>
      <c r="J607" s="101">
        <v>4.9000000000000004</v>
      </c>
      <c r="K607" s="101">
        <v>6378.71</v>
      </c>
      <c r="L607" s="100" t="s">
        <v>623</v>
      </c>
      <c r="M607" s="100">
        <v>18832.580000000002</v>
      </c>
      <c r="N607" s="121">
        <v>8.0199999999999994E-2</v>
      </c>
    </row>
    <row r="608" spans="3:14" x14ac:dyDescent="0.25">
      <c r="C608" s="99">
        <v>491</v>
      </c>
      <c r="D608" s="100" t="s">
        <v>773</v>
      </c>
      <c r="E608" s="100">
        <v>16</v>
      </c>
      <c r="F608" s="100" t="s">
        <v>1387</v>
      </c>
      <c r="G608" s="101">
        <v>16.399999999999999</v>
      </c>
      <c r="H608" s="101">
        <v>26240</v>
      </c>
      <c r="I608" s="100" t="s">
        <v>863</v>
      </c>
      <c r="J608" s="101">
        <v>9</v>
      </c>
      <c r="K608" s="101">
        <v>14410.72</v>
      </c>
      <c r="L608" s="100" t="s">
        <v>623</v>
      </c>
      <c r="M608" s="100">
        <v>11818.56</v>
      </c>
      <c r="N608" s="121">
        <v>4.3799999999999999E-2</v>
      </c>
    </row>
    <row r="609" spans="3:14" x14ac:dyDescent="0.25">
      <c r="C609" s="99">
        <v>492</v>
      </c>
      <c r="D609" s="100" t="s">
        <v>524</v>
      </c>
      <c r="E609" s="100">
        <v>57</v>
      </c>
      <c r="F609" s="100" t="s">
        <v>875</v>
      </c>
      <c r="G609" s="101">
        <v>6.5</v>
      </c>
      <c r="H609" s="101">
        <v>37050</v>
      </c>
      <c r="I609" s="100" t="s">
        <v>857</v>
      </c>
      <c r="J609" s="101">
        <v>9.4</v>
      </c>
      <c r="K609" s="101">
        <v>53618.19</v>
      </c>
      <c r="L609" s="100" t="s">
        <v>623</v>
      </c>
      <c r="M609" s="100">
        <v>-16606.38</v>
      </c>
      <c r="N609" s="121">
        <v>-6.0100000000000001E-2</v>
      </c>
    </row>
    <row r="610" spans="3:14" x14ac:dyDescent="0.25">
      <c r="C610" s="99">
        <v>493</v>
      </c>
      <c r="D610" s="100" t="s">
        <v>769</v>
      </c>
      <c r="E610" s="100">
        <v>39</v>
      </c>
      <c r="F610" s="100" t="s">
        <v>771</v>
      </c>
      <c r="G610" s="101">
        <v>6</v>
      </c>
      <c r="H610" s="101">
        <v>23400</v>
      </c>
      <c r="I610" s="100" t="s">
        <v>836</v>
      </c>
      <c r="J610" s="101">
        <v>1.65</v>
      </c>
      <c r="K610" s="101">
        <v>6461.13</v>
      </c>
      <c r="L610" s="100" t="s">
        <v>623</v>
      </c>
      <c r="M610" s="100">
        <v>16912.740000000002</v>
      </c>
      <c r="N610" s="121">
        <v>6.7799999999999999E-2</v>
      </c>
    </row>
    <row r="611" spans="3:14" x14ac:dyDescent="0.25">
      <c r="C611" s="99">
        <v>494</v>
      </c>
      <c r="D611" s="100" t="s">
        <v>769</v>
      </c>
      <c r="E611" s="100">
        <v>40</v>
      </c>
      <c r="F611" s="100" t="s">
        <v>758</v>
      </c>
      <c r="G611" s="101">
        <v>6</v>
      </c>
      <c r="H611" s="101">
        <v>24000</v>
      </c>
      <c r="I611" s="100" t="s">
        <v>836</v>
      </c>
      <c r="J611" s="101">
        <v>0.4</v>
      </c>
      <c r="K611" s="101">
        <v>1626.8</v>
      </c>
      <c r="L611" s="100" t="s">
        <v>623</v>
      </c>
      <c r="M611" s="100">
        <v>22346.400000000001</v>
      </c>
      <c r="N611" s="121">
        <v>8.7300000000000003E-2</v>
      </c>
    </row>
    <row r="612" spans="3:14" x14ac:dyDescent="0.25">
      <c r="C612" s="99">
        <v>495</v>
      </c>
      <c r="D612" s="100" t="s">
        <v>769</v>
      </c>
      <c r="E612" s="100">
        <v>37</v>
      </c>
      <c r="F612" s="100" t="s">
        <v>811</v>
      </c>
      <c r="G612" s="101">
        <v>7.4</v>
      </c>
      <c r="H612" s="101">
        <v>27380</v>
      </c>
      <c r="I612" s="100" t="s">
        <v>836</v>
      </c>
      <c r="J612" s="101">
        <v>10.199999999999999</v>
      </c>
      <c r="K612" s="101">
        <v>37764.79</v>
      </c>
      <c r="L612" s="100" t="s">
        <v>623</v>
      </c>
      <c r="M612" s="100">
        <v>-10409.58</v>
      </c>
      <c r="N612" s="121">
        <v>-3.7499999999999999E-2</v>
      </c>
    </row>
    <row r="613" spans="3:14" x14ac:dyDescent="0.25">
      <c r="C613" s="99">
        <v>496</v>
      </c>
      <c r="D613" s="100" t="s">
        <v>769</v>
      </c>
      <c r="E613" s="100">
        <v>39</v>
      </c>
      <c r="F613" s="100" t="s">
        <v>804</v>
      </c>
      <c r="G613" s="101">
        <v>7</v>
      </c>
      <c r="H613" s="101">
        <v>27300</v>
      </c>
      <c r="I613" s="100" t="s">
        <v>836</v>
      </c>
      <c r="J613" s="101">
        <v>9</v>
      </c>
      <c r="K613" s="101">
        <v>35126.129999999997</v>
      </c>
      <c r="L613" s="100" t="s">
        <v>623</v>
      </c>
      <c r="M613" s="100">
        <v>-7852.26</v>
      </c>
      <c r="N613" s="121">
        <v>-2.76E-2</v>
      </c>
    </row>
    <row r="614" spans="3:14" x14ac:dyDescent="0.25">
      <c r="C614" s="99">
        <v>497</v>
      </c>
      <c r="D614" s="100" t="s">
        <v>781</v>
      </c>
      <c r="E614" s="100">
        <v>62</v>
      </c>
      <c r="F614" s="100" t="s">
        <v>801</v>
      </c>
      <c r="G614" s="101">
        <v>4.55</v>
      </c>
      <c r="H614" s="101">
        <v>28210</v>
      </c>
      <c r="I614" s="100" t="s">
        <v>898</v>
      </c>
      <c r="J614" s="101">
        <v>3.85</v>
      </c>
      <c r="K614" s="101">
        <v>23911.54</v>
      </c>
      <c r="L614" s="100" t="s">
        <v>623</v>
      </c>
      <c r="M614" s="100">
        <v>4256.92</v>
      </c>
      <c r="N614" s="121">
        <v>1.5100000000000001E-2</v>
      </c>
    </row>
    <row r="615" spans="3:14" x14ac:dyDescent="0.25">
      <c r="C615" s="99">
        <v>498</v>
      </c>
      <c r="D615" s="100" t="s">
        <v>781</v>
      </c>
      <c r="E615" s="100">
        <v>86</v>
      </c>
      <c r="F615" s="100" t="s">
        <v>826</v>
      </c>
      <c r="G615" s="101">
        <v>4.25</v>
      </c>
      <c r="H615" s="101">
        <v>36550</v>
      </c>
      <c r="I615" s="100" t="s">
        <v>898</v>
      </c>
      <c r="J615" s="101">
        <v>4.3499999999999996</v>
      </c>
      <c r="K615" s="101">
        <v>37467.620000000003</v>
      </c>
      <c r="L615" s="100" t="s">
        <v>623</v>
      </c>
      <c r="M615" s="100">
        <v>-975.24</v>
      </c>
      <c r="N615" s="121">
        <v>-2.5000000000000001E-3</v>
      </c>
    </row>
    <row r="616" spans="3:14" x14ac:dyDescent="0.25">
      <c r="C616" s="99">
        <v>499</v>
      </c>
      <c r="D616" s="100" t="s">
        <v>855</v>
      </c>
      <c r="E616" s="100">
        <v>10</v>
      </c>
      <c r="F616" s="100" t="s">
        <v>829</v>
      </c>
      <c r="G616" s="101">
        <v>29.2</v>
      </c>
      <c r="H616" s="101">
        <v>29200</v>
      </c>
      <c r="I616" s="100" t="s">
        <v>874</v>
      </c>
      <c r="J616" s="101">
        <v>28</v>
      </c>
      <c r="K616" s="101">
        <v>28006.7</v>
      </c>
      <c r="L616" s="100" t="s">
        <v>623</v>
      </c>
      <c r="M616" s="100">
        <v>1186.5999999999999</v>
      </c>
      <c r="N616" s="121">
        <v>4.4000000000000003E-3</v>
      </c>
    </row>
    <row r="617" spans="3:14" x14ac:dyDescent="0.25">
      <c r="C617" s="99">
        <v>500</v>
      </c>
      <c r="D617" s="100" t="s">
        <v>855</v>
      </c>
      <c r="E617" s="100">
        <v>12</v>
      </c>
      <c r="F617" s="100" t="s">
        <v>813</v>
      </c>
      <c r="G617" s="101">
        <v>25.9</v>
      </c>
      <c r="H617" s="101">
        <v>31080</v>
      </c>
      <c r="I617" s="100" t="s">
        <v>874</v>
      </c>
      <c r="J617" s="101">
        <v>24</v>
      </c>
      <c r="K617" s="101">
        <v>28808.04</v>
      </c>
      <c r="L617" s="100" t="s">
        <v>623</v>
      </c>
      <c r="M617" s="100">
        <v>2263.92</v>
      </c>
      <c r="N617" s="121">
        <v>7.1000000000000004E-3</v>
      </c>
    </row>
    <row r="618" spans="3:14" x14ac:dyDescent="0.25">
      <c r="C618" s="99">
        <v>501</v>
      </c>
      <c r="D618" s="100" t="s">
        <v>855</v>
      </c>
      <c r="E618" s="100">
        <v>14</v>
      </c>
      <c r="F618" s="100" t="s">
        <v>873</v>
      </c>
      <c r="G618" s="101">
        <v>25.4</v>
      </c>
      <c r="H618" s="101">
        <v>35560</v>
      </c>
      <c r="I618" s="100" t="s">
        <v>874</v>
      </c>
      <c r="J618" s="101">
        <v>27</v>
      </c>
      <c r="K618" s="101">
        <v>37809.379999999997</v>
      </c>
      <c r="L618" s="100" t="s">
        <v>623</v>
      </c>
      <c r="M618" s="100">
        <v>-2258.7600000000002</v>
      </c>
      <c r="N618" s="121">
        <v>-6.1000000000000004E-3</v>
      </c>
    </row>
    <row r="619" spans="3:14" x14ac:dyDescent="0.25">
      <c r="C619" s="99">
        <v>502</v>
      </c>
      <c r="D619" s="100" t="s">
        <v>855</v>
      </c>
      <c r="E619" s="100">
        <v>13</v>
      </c>
      <c r="F619" s="100" t="s">
        <v>827</v>
      </c>
      <c r="G619" s="101">
        <v>27.5</v>
      </c>
      <c r="H619" s="101">
        <v>35750</v>
      </c>
      <c r="I619" s="100" t="s">
        <v>874</v>
      </c>
      <c r="J619" s="101">
        <v>36</v>
      </c>
      <c r="K619" s="101">
        <v>46808.71</v>
      </c>
      <c r="L619" s="100" t="s">
        <v>623</v>
      </c>
      <c r="M619" s="100">
        <v>-11067.42</v>
      </c>
      <c r="N619" s="121">
        <v>-3.0099999999999998E-2</v>
      </c>
    </row>
    <row r="620" spans="3:14" x14ac:dyDescent="0.25">
      <c r="C620" s="99">
        <v>503</v>
      </c>
      <c r="D620" s="100" t="s">
        <v>855</v>
      </c>
      <c r="E620" s="100">
        <v>15</v>
      </c>
      <c r="F620" s="100" t="s">
        <v>876</v>
      </c>
      <c r="G620" s="101">
        <v>27</v>
      </c>
      <c r="H620" s="101">
        <v>40500</v>
      </c>
      <c r="I620" s="100" t="s">
        <v>874</v>
      </c>
      <c r="J620" s="101">
        <v>43</v>
      </c>
      <c r="K620" s="101">
        <v>64510.05</v>
      </c>
      <c r="L620" s="100" t="s">
        <v>623</v>
      </c>
      <c r="M620" s="100">
        <v>-24020.1</v>
      </c>
      <c r="N620" s="121">
        <v>-5.6599999999999998E-2</v>
      </c>
    </row>
    <row r="621" spans="3:14" x14ac:dyDescent="0.25">
      <c r="C621" s="99">
        <v>504</v>
      </c>
      <c r="D621" s="100" t="s">
        <v>855</v>
      </c>
      <c r="E621" s="100">
        <v>14</v>
      </c>
      <c r="F621" s="100" t="s">
        <v>877</v>
      </c>
      <c r="G621" s="101">
        <v>28.2</v>
      </c>
      <c r="H621" s="101">
        <v>39480</v>
      </c>
      <c r="I621" s="100" t="s">
        <v>874</v>
      </c>
      <c r="J621" s="101">
        <v>48.5</v>
      </c>
      <c r="K621" s="101">
        <v>67909.38</v>
      </c>
      <c r="L621" s="100" t="s">
        <v>623</v>
      </c>
      <c r="M621" s="100">
        <v>-28438.76</v>
      </c>
      <c r="N621" s="121">
        <v>-6.9599999999999995E-2</v>
      </c>
    </row>
    <row r="622" spans="3:14" x14ac:dyDescent="0.25">
      <c r="C622" s="99">
        <v>505</v>
      </c>
      <c r="D622" s="100" t="s">
        <v>529</v>
      </c>
      <c r="E622" s="100">
        <v>23</v>
      </c>
      <c r="F622" s="100" t="s">
        <v>808</v>
      </c>
      <c r="G622" s="101">
        <v>12.7</v>
      </c>
      <c r="H622" s="101">
        <v>29210</v>
      </c>
      <c r="I622" s="100" t="s">
        <v>885</v>
      </c>
      <c r="J622" s="101">
        <v>4.8</v>
      </c>
      <c r="K622" s="101">
        <v>11055.41</v>
      </c>
      <c r="L622" s="100" t="s">
        <v>623</v>
      </c>
      <c r="M622" s="100">
        <v>18139.18</v>
      </c>
      <c r="N622" s="121">
        <v>0.10199999999999999</v>
      </c>
    </row>
    <row r="623" spans="3:14" x14ac:dyDescent="0.25">
      <c r="C623" s="99">
        <v>506</v>
      </c>
      <c r="D623" s="100" t="s">
        <v>529</v>
      </c>
      <c r="E623" s="100">
        <v>46</v>
      </c>
      <c r="F623" s="100" t="s">
        <v>1400</v>
      </c>
      <c r="G623" s="101">
        <v>7.4</v>
      </c>
      <c r="H623" s="101">
        <v>34040</v>
      </c>
      <c r="I623" s="100" t="s">
        <v>885</v>
      </c>
      <c r="J623" s="101">
        <v>3.35</v>
      </c>
      <c r="K623" s="101">
        <v>15440.82</v>
      </c>
      <c r="L623" s="100" t="s">
        <v>623</v>
      </c>
      <c r="M623" s="100">
        <v>18568.36</v>
      </c>
      <c r="N623" s="121">
        <v>5.1999999999999998E-2</v>
      </c>
    </row>
    <row r="624" spans="3:14" x14ac:dyDescent="0.25">
      <c r="C624" s="99">
        <v>507</v>
      </c>
      <c r="D624" s="100" t="s">
        <v>529</v>
      </c>
      <c r="E624" s="100">
        <v>39</v>
      </c>
      <c r="F624" s="100" t="s">
        <v>866</v>
      </c>
      <c r="G624" s="101">
        <v>9.0500000000000007</v>
      </c>
      <c r="H624" s="101">
        <v>35295</v>
      </c>
      <c r="I624" s="100" t="s">
        <v>885</v>
      </c>
      <c r="J624" s="101">
        <v>6.7</v>
      </c>
      <c r="K624" s="101">
        <v>26156.13</v>
      </c>
      <c r="L624" s="100" t="s">
        <v>623</v>
      </c>
      <c r="M624" s="100">
        <v>9112.74</v>
      </c>
      <c r="N624" s="121">
        <v>2.7199999999999998E-2</v>
      </c>
    </row>
    <row r="625" spans="3:14" x14ac:dyDescent="0.25">
      <c r="C625" s="99">
        <v>508</v>
      </c>
      <c r="D625" s="100" t="s">
        <v>529</v>
      </c>
      <c r="E625" s="100">
        <v>40</v>
      </c>
      <c r="F625" s="100" t="s">
        <v>884</v>
      </c>
      <c r="G625" s="101">
        <v>9.8000000000000007</v>
      </c>
      <c r="H625" s="101">
        <v>39200</v>
      </c>
      <c r="I625" s="100" t="s">
        <v>885</v>
      </c>
      <c r="J625" s="101">
        <v>16</v>
      </c>
      <c r="K625" s="101">
        <v>64026.8</v>
      </c>
      <c r="L625" s="100" t="s">
        <v>623</v>
      </c>
      <c r="M625" s="100">
        <v>-24853.599999999999</v>
      </c>
      <c r="N625" s="121">
        <v>-6.5299999999999997E-2</v>
      </c>
    </row>
    <row r="626" spans="3:14" x14ac:dyDescent="0.25">
      <c r="C626" s="99">
        <v>509</v>
      </c>
      <c r="D626" s="100" t="s">
        <v>529</v>
      </c>
      <c r="E626" s="100">
        <v>45</v>
      </c>
      <c r="F626" s="100" t="s">
        <v>886</v>
      </c>
      <c r="G626" s="101">
        <v>8.6</v>
      </c>
      <c r="H626" s="101">
        <v>38700</v>
      </c>
      <c r="I626" s="100" t="s">
        <v>885</v>
      </c>
      <c r="J626" s="101">
        <v>13.3</v>
      </c>
      <c r="K626" s="101">
        <v>59880.15</v>
      </c>
      <c r="L626" s="100" t="s">
        <v>623</v>
      </c>
      <c r="M626" s="100">
        <v>-21210.3</v>
      </c>
      <c r="N626" s="121">
        <v>-5.16E-2</v>
      </c>
    </row>
    <row r="627" spans="3:14" x14ac:dyDescent="0.25">
      <c r="C627" s="99">
        <v>510</v>
      </c>
      <c r="D627" s="100" t="s">
        <v>669</v>
      </c>
      <c r="E627" s="100">
        <v>35</v>
      </c>
      <c r="F627" s="100" t="s">
        <v>887</v>
      </c>
      <c r="G627" s="101">
        <v>11.35</v>
      </c>
      <c r="H627" s="101">
        <v>39725</v>
      </c>
      <c r="I627" s="100" t="s">
        <v>885</v>
      </c>
      <c r="J627" s="101">
        <v>17.05</v>
      </c>
      <c r="K627" s="101">
        <v>59698.45</v>
      </c>
      <c r="L627" s="100" t="s">
        <v>623</v>
      </c>
      <c r="M627" s="100">
        <v>-19996.900000000001</v>
      </c>
      <c r="N627" s="121">
        <v>-4.6199999999999998E-2</v>
      </c>
    </row>
    <row r="628" spans="3:14" x14ac:dyDescent="0.25">
      <c r="C628" s="99">
        <v>511</v>
      </c>
      <c r="D628" s="100" t="s">
        <v>785</v>
      </c>
      <c r="E628" s="100">
        <v>37</v>
      </c>
      <c r="F628" s="100" t="s">
        <v>812</v>
      </c>
      <c r="G628" s="101">
        <v>7.9</v>
      </c>
      <c r="H628" s="101">
        <v>29230</v>
      </c>
      <c r="I628" s="100" t="s">
        <v>1401</v>
      </c>
      <c r="J628" s="101">
        <v>1.2</v>
      </c>
      <c r="K628" s="101">
        <v>4464.79</v>
      </c>
      <c r="L628" s="100" t="s">
        <v>623</v>
      </c>
      <c r="M628" s="100">
        <v>24740.42</v>
      </c>
      <c r="N628" s="121">
        <v>8.14E-2</v>
      </c>
    </row>
    <row r="629" spans="3:14" x14ac:dyDescent="0.25">
      <c r="C629" s="99">
        <v>512</v>
      </c>
      <c r="D629" s="100" t="s">
        <v>918</v>
      </c>
      <c r="E629" s="100">
        <v>31</v>
      </c>
      <c r="F629" s="100" t="s">
        <v>919</v>
      </c>
      <c r="G629" s="101">
        <v>13</v>
      </c>
      <c r="H629" s="101">
        <v>40300</v>
      </c>
      <c r="I629" s="100" t="s">
        <v>1286</v>
      </c>
      <c r="J629" s="101">
        <v>9.4499999999999993</v>
      </c>
      <c r="K629" s="101">
        <v>29315.77</v>
      </c>
      <c r="L629" s="100" t="s">
        <v>623</v>
      </c>
      <c r="M629" s="100">
        <v>10963.46</v>
      </c>
      <c r="N629" s="121">
        <v>2.58E-2</v>
      </c>
    </row>
    <row r="630" spans="3:14" x14ac:dyDescent="0.25">
      <c r="C630" s="99">
        <v>513</v>
      </c>
      <c r="D630" s="100" t="s">
        <v>918</v>
      </c>
      <c r="E630" s="100">
        <v>30</v>
      </c>
      <c r="F630" s="100" t="s">
        <v>893</v>
      </c>
      <c r="G630" s="101">
        <v>13.65</v>
      </c>
      <c r="H630" s="101">
        <v>40950</v>
      </c>
      <c r="I630" s="100" t="s">
        <v>1286</v>
      </c>
      <c r="J630" s="101">
        <v>11.45</v>
      </c>
      <c r="K630" s="101">
        <v>34370.1</v>
      </c>
      <c r="L630" s="100" t="s">
        <v>623</v>
      </c>
      <c r="M630" s="100">
        <v>6559.8</v>
      </c>
      <c r="N630" s="121">
        <v>1.55E-2</v>
      </c>
    </row>
    <row r="631" spans="3:14" x14ac:dyDescent="0.25">
      <c r="C631" s="99">
        <v>514</v>
      </c>
      <c r="D631" s="100" t="s">
        <v>915</v>
      </c>
      <c r="E631" s="100">
        <v>48</v>
      </c>
      <c r="F631" s="100" t="s">
        <v>1409</v>
      </c>
      <c r="G631" s="101">
        <v>9.1999999999999993</v>
      </c>
      <c r="H631" s="101">
        <v>44160</v>
      </c>
      <c r="I631" s="100" t="s">
        <v>1287</v>
      </c>
      <c r="J631" s="101">
        <v>9.1999999999999993</v>
      </c>
      <c r="K631" s="101">
        <v>44192.160000000003</v>
      </c>
      <c r="L631" s="100" t="s">
        <v>623</v>
      </c>
      <c r="M631" s="100">
        <v>-64.319999999999993</v>
      </c>
      <c r="N631" s="121">
        <v>-2.0000000000000001E-4</v>
      </c>
    </row>
    <row r="632" spans="3:14" x14ac:dyDescent="0.25">
      <c r="C632" s="99">
        <v>515</v>
      </c>
      <c r="D632" s="100" t="s">
        <v>915</v>
      </c>
      <c r="E632" s="100">
        <v>53</v>
      </c>
      <c r="F632" s="100" t="s">
        <v>899</v>
      </c>
      <c r="G632" s="101">
        <v>8.3000000000000007</v>
      </c>
      <c r="H632" s="101">
        <v>43990</v>
      </c>
      <c r="I632" s="100" t="s">
        <v>1287</v>
      </c>
      <c r="J632" s="101">
        <v>8.1</v>
      </c>
      <c r="K632" s="101">
        <v>42965.51</v>
      </c>
      <c r="L632" s="100" t="s">
        <v>623</v>
      </c>
      <c r="M632" s="100">
        <v>988.98</v>
      </c>
      <c r="N632" s="121">
        <v>2.2000000000000001E-3</v>
      </c>
    </row>
    <row r="633" spans="3:14" x14ac:dyDescent="0.25">
      <c r="C633" s="99">
        <v>516</v>
      </c>
      <c r="D633" s="100" t="s">
        <v>915</v>
      </c>
      <c r="E633" s="100">
        <v>49</v>
      </c>
      <c r="F633" s="100" t="s">
        <v>1280</v>
      </c>
      <c r="G633" s="101">
        <v>9.3000000000000007</v>
      </c>
      <c r="H633" s="101">
        <v>45570</v>
      </c>
      <c r="I633" s="100" t="s">
        <v>1287</v>
      </c>
      <c r="J633" s="101">
        <v>10.5</v>
      </c>
      <c r="K633" s="101">
        <v>51482.83</v>
      </c>
      <c r="L633" s="100" t="s">
        <v>623</v>
      </c>
      <c r="M633" s="100">
        <v>-5945.66</v>
      </c>
      <c r="N633" s="121">
        <v>-1.38E-2</v>
      </c>
    </row>
    <row r="634" spans="3:14" x14ac:dyDescent="0.25">
      <c r="C634" s="99">
        <v>517</v>
      </c>
      <c r="D634" s="100" t="s">
        <v>915</v>
      </c>
      <c r="E634" s="100">
        <v>51</v>
      </c>
      <c r="F634" s="100" t="s">
        <v>901</v>
      </c>
      <c r="G634" s="101">
        <v>9.1</v>
      </c>
      <c r="H634" s="101">
        <v>46410</v>
      </c>
      <c r="I634" s="100" t="s">
        <v>1287</v>
      </c>
      <c r="J634" s="101">
        <v>11.9</v>
      </c>
      <c r="K634" s="101">
        <v>60724.17</v>
      </c>
      <c r="L634" s="100" t="s">
        <v>623</v>
      </c>
      <c r="M634" s="100">
        <v>-14348.34</v>
      </c>
      <c r="N634" s="121">
        <v>-3.1E-2</v>
      </c>
    </row>
    <row r="635" spans="3:14" x14ac:dyDescent="0.25">
      <c r="C635" s="99">
        <v>518</v>
      </c>
      <c r="D635" s="100" t="s">
        <v>915</v>
      </c>
      <c r="E635" s="100">
        <v>54</v>
      </c>
      <c r="F635" s="100" t="s">
        <v>906</v>
      </c>
      <c r="G635" s="101">
        <v>8.9</v>
      </c>
      <c r="H635" s="101">
        <v>48060</v>
      </c>
      <c r="I635" s="100" t="s">
        <v>1287</v>
      </c>
      <c r="J635" s="101">
        <v>13.4</v>
      </c>
      <c r="K635" s="101">
        <v>72396.179999999993</v>
      </c>
      <c r="L635" s="100" t="s">
        <v>623</v>
      </c>
      <c r="M635" s="100">
        <v>-24372.36</v>
      </c>
      <c r="N635" s="121">
        <v>-4.9500000000000002E-2</v>
      </c>
    </row>
    <row r="636" spans="3:14" x14ac:dyDescent="0.25">
      <c r="C636" s="99">
        <v>519</v>
      </c>
      <c r="D636" s="100" t="s">
        <v>909</v>
      </c>
      <c r="E636" s="100">
        <v>73</v>
      </c>
      <c r="F636" s="100" t="s">
        <v>885</v>
      </c>
      <c r="G636" s="101">
        <v>5.4</v>
      </c>
      <c r="H636" s="101">
        <v>39420</v>
      </c>
      <c r="I636" s="100" t="s">
        <v>1288</v>
      </c>
      <c r="J636" s="101">
        <v>3.1</v>
      </c>
      <c r="K636" s="101">
        <v>22678.91</v>
      </c>
      <c r="L636" s="100" t="s">
        <v>623</v>
      </c>
      <c r="M636" s="100">
        <v>16692.18</v>
      </c>
      <c r="N636" s="121">
        <v>4.3900000000000002E-2</v>
      </c>
    </row>
    <row r="637" spans="3:14" x14ac:dyDescent="0.25">
      <c r="C637" s="99">
        <v>520</v>
      </c>
      <c r="D637" s="100" t="s">
        <v>909</v>
      </c>
      <c r="E637" s="100">
        <v>85</v>
      </c>
      <c r="F637" s="100" t="s">
        <v>1410</v>
      </c>
      <c r="G637" s="101">
        <v>4.5999999999999996</v>
      </c>
      <c r="H637" s="101">
        <v>39100</v>
      </c>
      <c r="I637" s="100" t="s">
        <v>1288</v>
      </c>
      <c r="J637" s="101">
        <v>2.35</v>
      </c>
      <c r="K637" s="101">
        <v>20031.95</v>
      </c>
      <c r="L637" s="100" t="s">
        <v>623</v>
      </c>
      <c r="M637" s="100">
        <v>19011.099999999999</v>
      </c>
      <c r="N637" s="121">
        <v>4.4400000000000002E-2</v>
      </c>
    </row>
    <row r="638" spans="3:14" x14ac:dyDescent="0.25">
      <c r="C638" s="99">
        <v>521</v>
      </c>
      <c r="D638" s="100" t="s">
        <v>909</v>
      </c>
      <c r="E638" s="100">
        <v>78</v>
      </c>
      <c r="F638" s="100" t="s">
        <v>907</v>
      </c>
      <c r="G638" s="101">
        <v>5.2</v>
      </c>
      <c r="H638" s="101">
        <v>40560</v>
      </c>
      <c r="I638" s="100" t="s">
        <v>1288</v>
      </c>
      <c r="J638" s="101">
        <v>3.9</v>
      </c>
      <c r="K638" s="101">
        <v>30472.26</v>
      </c>
      <c r="L638" s="100" t="s">
        <v>623</v>
      </c>
      <c r="M638" s="100">
        <v>10035.48</v>
      </c>
      <c r="N638" s="121">
        <v>2.35E-2</v>
      </c>
    </row>
    <row r="639" spans="3:14" x14ac:dyDescent="0.25">
      <c r="C639" s="99">
        <v>522</v>
      </c>
      <c r="D639" s="100" t="s">
        <v>435</v>
      </c>
      <c r="E639" s="100">
        <v>16</v>
      </c>
      <c r="F639" s="100" t="s">
        <v>896</v>
      </c>
      <c r="G639" s="101">
        <v>25.5</v>
      </c>
      <c r="H639" s="101">
        <v>40800</v>
      </c>
      <c r="I639" s="100" t="s">
        <v>1413</v>
      </c>
      <c r="J639" s="101">
        <v>1.3</v>
      </c>
      <c r="K639" s="101">
        <v>2090.7199999999998</v>
      </c>
      <c r="L639" s="100" t="s">
        <v>623</v>
      </c>
      <c r="M639" s="100">
        <v>38698.559999999998</v>
      </c>
      <c r="N639" s="121">
        <v>0.40649999999999997</v>
      </c>
    </row>
    <row r="640" spans="3:14" x14ac:dyDescent="0.25">
      <c r="C640" s="99">
        <v>523</v>
      </c>
      <c r="D640" s="100" t="s">
        <v>524</v>
      </c>
      <c r="E640" s="100">
        <v>63</v>
      </c>
      <c r="F640" s="100" t="s">
        <v>900</v>
      </c>
      <c r="G640" s="101">
        <v>6.5</v>
      </c>
      <c r="H640" s="101">
        <v>40950</v>
      </c>
      <c r="I640" s="100" t="s">
        <v>929</v>
      </c>
      <c r="J640" s="101">
        <v>3.7</v>
      </c>
      <c r="K640" s="101">
        <v>23352.21</v>
      </c>
      <c r="L640" s="100" t="s">
        <v>623</v>
      </c>
      <c r="M640" s="100">
        <v>17555.580000000002</v>
      </c>
      <c r="N640" s="121">
        <v>5.21E-2</v>
      </c>
    </row>
    <row r="641" spans="3:14" x14ac:dyDescent="0.25">
      <c r="C641" s="99">
        <v>524</v>
      </c>
      <c r="D641" s="100" t="s">
        <v>524</v>
      </c>
      <c r="E641" s="100">
        <v>75</v>
      </c>
      <c r="F641" s="100" t="s">
        <v>883</v>
      </c>
      <c r="G641" s="101">
        <v>5.4</v>
      </c>
      <c r="H641" s="101">
        <v>40500</v>
      </c>
      <c r="I641" s="100" t="s">
        <v>929</v>
      </c>
      <c r="J641" s="101">
        <v>2.6</v>
      </c>
      <c r="K641" s="101">
        <v>19550.25</v>
      </c>
      <c r="L641" s="100" t="s">
        <v>623</v>
      </c>
      <c r="M641" s="100">
        <v>20899.5</v>
      </c>
      <c r="N641" s="121">
        <v>5.62E-2</v>
      </c>
    </row>
    <row r="642" spans="3:14" x14ac:dyDescent="0.25">
      <c r="C642" s="99">
        <v>525</v>
      </c>
      <c r="D642" s="100" t="s">
        <v>524</v>
      </c>
      <c r="E642" s="100">
        <v>94</v>
      </c>
      <c r="F642" s="100" t="s">
        <v>912</v>
      </c>
      <c r="G642" s="101">
        <v>4.3</v>
      </c>
      <c r="H642" s="101">
        <v>40420</v>
      </c>
      <c r="I642" s="100" t="s">
        <v>929</v>
      </c>
      <c r="J642" s="101">
        <v>1.75</v>
      </c>
      <c r="K642" s="101">
        <v>16512.98</v>
      </c>
      <c r="L642" s="100" t="s">
        <v>623</v>
      </c>
      <c r="M642" s="100">
        <v>23844.04</v>
      </c>
      <c r="N642" s="121">
        <v>5.5500000000000001E-2</v>
      </c>
    </row>
    <row r="643" spans="3:14" x14ac:dyDescent="0.25">
      <c r="C643" s="99">
        <v>526</v>
      </c>
      <c r="D643" s="100" t="s">
        <v>524</v>
      </c>
      <c r="E643" s="100">
        <v>78</v>
      </c>
      <c r="F643" s="100" t="s">
        <v>928</v>
      </c>
      <c r="G643" s="101">
        <v>6.4</v>
      </c>
      <c r="H643" s="101">
        <v>49920</v>
      </c>
      <c r="I643" s="100" t="s">
        <v>929</v>
      </c>
      <c r="J643" s="101">
        <v>9.9</v>
      </c>
      <c r="K643" s="101">
        <v>77272.259999999995</v>
      </c>
      <c r="L643" s="100" t="s">
        <v>623</v>
      </c>
      <c r="M643" s="100">
        <v>-27404.52</v>
      </c>
      <c r="N643" s="121">
        <v>-5.5199999999999999E-2</v>
      </c>
    </row>
    <row r="644" spans="3:14" x14ac:dyDescent="0.25">
      <c r="C644" s="99">
        <v>527</v>
      </c>
      <c r="D644" s="100" t="s">
        <v>814</v>
      </c>
      <c r="E644" s="100">
        <v>75</v>
      </c>
      <c r="F644" s="100" t="s">
        <v>889</v>
      </c>
      <c r="G644" s="101">
        <v>5.45</v>
      </c>
      <c r="H644" s="101">
        <v>40875</v>
      </c>
      <c r="I644" s="100" t="s">
        <v>1415</v>
      </c>
      <c r="J644" s="101">
        <v>2.77</v>
      </c>
      <c r="K644" s="101">
        <v>20825.25</v>
      </c>
      <c r="L644" s="100" t="s">
        <v>623</v>
      </c>
      <c r="M644" s="100">
        <v>19999.5</v>
      </c>
      <c r="N644" s="121">
        <v>4.8899999999999999E-2</v>
      </c>
    </row>
    <row r="645" spans="3:14" x14ac:dyDescent="0.25">
      <c r="C645" s="99">
        <v>528</v>
      </c>
      <c r="D645" s="100" t="s">
        <v>814</v>
      </c>
      <c r="E645" s="100">
        <v>68</v>
      </c>
      <c r="F645" s="100" t="s">
        <v>1416</v>
      </c>
      <c r="G645" s="101">
        <v>5.8</v>
      </c>
      <c r="H645" s="101">
        <v>39440</v>
      </c>
      <c r="I645" s="100" t="s">
        <v>1415</v>
      </c>
      <c r="J645" s="101">
        <v>4.7</v>
      </c>
      <c r="K645" s="101">
        <v>32005.56</v>
      </c>
      <c r="L645" s="100" t="s">
        <v>623</v>
      </c>
      <c r="M645" s="100">
        <v>7388.88</v>
      </c>
      <c r="N645" s="121">
        <v>1.84E-2</v>
      </c>
    </row>
    <row r="646" spans="3:14" x14ac:dyDescent="0.25">
      <c r="C646" s="99">
        <v>529</v>
      </c>
      <c r="D646" s="100" t="s">
        <v>589</v>
      </c>
      <c r="E646" s="100">
        <v>35</v>
      </c>
      <c r="F646" s="100" t="s">
        <v>1420</v>
      </c>
      <c r="G646" s="101">
        <v>14.15</v>
      </c>
      <c r="H646" s="101">
        <v>49525</v>
      </c>
      <c r="I646" s="100" t="s">
        <v>1421</v>
      </c>
      <c r="J646" s="101">
        <v>21.8</v>
      </c>
      <c r="K646" s="101">
        <v>76323.45</v>
      </c>
      <c r="L646" s="100" t="s">
        <v>623</v>
      </c>
      <c r="M646" s="100">
        <v>-26821.9</v>
      </c>
      <c r="N646" s="121">
        <v>-0.08</v>
      </c>
    </row>
    <row r="647" spans="3:14" x14ac:dyDescent="0.25">
      <c r="C647" s="99">
        <v>530</v>
      </c>
      <c r="D647" s="100" t="s">
        <v>589</v>
      </c>
      <c r="E647" s="100">
        <v>37</v>
      </c>
      <c r="F647" s="100" t="s">
        <v>1422</v>
      </c>
      <c r="G647" s="101">
        <v>13.3</v>
      </c>
      <c r="H647" s="101">
        <v>49210</v>
      </c>
      <c r="I647" s="100" t="s">
        <v>1421</v>
      </c>
      <c r="J647" s="101">
        <v>20.7</v>
      </c>
      <c r="K647" s="101">
        <v>76614.789999999994</v>
      </c>
      <c r="L647" s="100" t="s">
        <v>623</v>
      </c>
      <c r="M647" s="100">
        <v>-27429.58</v>
      </c>
      <c r="N647" s="121">
        <v>-7.6700000000000004E-2</v>
      </c>
    </row>
    <row r="648" spans="3:14" x14ac:dyDescent="0.25">
      <c r="C648" s="99">
        <v>531</v>
      </c>
      <c r="D648" s="100" t="s">
        <v>589</v>
      </c>
      <c r="E648" s="100">
        <v>40</v>
      </c>
      <c r="F648" s="100" t="s">
        <v>1423</v>
      </c>
      <c r="G648" s="101">
        <v>12.45</v>
      </c>
      <c r="H648" s="101">
        <v>49800</v>
      </c>
      <c r="I648" s="100" t="s">
        <v>1421</v>
      </c>
      <c r="J648" s="101">
        <v>19.149999999999999</v>
      </c>
      <c r="K648" s="101">
        <v>76626.8</v>
      </c>
      <c r="L648" s="100" t="s">
        <v>623</v>
      </c>
      <c r="M648" s="100">
        <v>-26853.599999999999</v>
      </c>
      <c r="N648" s="121">
        <v>-7.2499999999999995E-2</v>
      </c>
    </row>
    <row r="649" spans="3:14" x14ac:dyDescent="0.25">
      <c r="C649" s="99">
        <v>532</v>
      </c>
      <c r="D649" s="100" t="s">
        <v>943</v>
      </c>
      <c r="E649" s="100">
        <v>30</v>
      </c>
      <c r="F649" s="100" t="s">
        <v>944</v>
      </c>
      <c r="G649" s="101">
        <v>16.850000000000001</v>
      </c>
      <c r="H649" s="101">
        <v>50550</v>
      </c>
      <c r="I649" s="100" t="s">
        <v>945</v>
      </c>
      <c r="J649" s="101">
        <v>18.5</v>
      </c>
      <c r="K649" s="101">
        <v>55520.1</v>
      </c>
      <c r="L649" s="100" t="s">
        <v>623</v>
      </c>
      <c r="M649" s="100">
        <v>-4990.2</v>
      </c>
      <c r="N649" s="121">
        <v>-9.1000000000000004E-3</v>
      </c>
    </row>
    <row r="650" spans="3:14" x14ac:dyDescent="0.25">
      <c r="C650" s="99">
        <v>533</v>
      </c>
      <c r="D650" s="100" t="s">
        <v>943</v>
      </c>
      <c r="E650" s="100">
        <v>28</v>
      </c>
      <c r="F650" s="100" t="s">
        <v>946</v>
      </c>
      <c r="G650" s="101">
        <v>17.600000000000001</v>
      </c>
      <c r="H650" s="101">
        <v>49280</v>
      </c>
      <c r="I650" s="100" t="s">
        <v>945</v>
      </c>
      <c r="J650" s="101">
        <v>21.6</v>
      </c>
      <c r="K650" s="101">
        <v>60498.76</v>
      </c>
      <c r="L650" s="100" t="s">
        <v>623</v>
      </c>
      <c r="M650" s="100">
        <v>-11237.52</v>
      </c>
      <c r="N650" s="121">
        <v>-2.12E-2</v>
      </c>
    </row>
    <row r="651" spans="3:14" x14ac:dyDescent="0.25">
      <c r="C651" s="99">
        <v>534</v>
      </c>
      <c r="D651" s="100" t="s">
        <v>943</v>
      </c>
      <c r="E651" s="100">
        <v>27</v>
      </c>
      <c r="F651" s="100" t="s">
        <v>947</v>
      </c>
      <c r="G651" s="101">
        <v>18.45</v>
      </c>
      <c r="H651" s="101">
        <v>49815</v>
      </c>
      <c r="I651" s="100" t="s">
        <v>945</v>
      </c>
      <c r="J651" s="101">
        <v>23.25</v>
      </c>
      <c r="K651" s="101">
        <v>62793.09</v>
      </c>
      <c r="L651" s="100" t="s">
        <v>623</v>
      </c>
      <c r="M651" s="100">
        <v>-12996.18</v>
      </c>
      <c r="N651" s="121">
        <v>-2.5100000000000001E-2</v>
      </c>
    </row>
    <row r="652" spans="3:14" x14ac:dyDescent="0.25">
      <c r="C652" s="99">
        <v>535</v>
      </c>
      <c r="D652" s="100" t="s">
        <v>943</v>
      </c>
      <c r="E652" s="100">
        <v>28</v>
      </c>
      <c r="F652" s="100" t="s">
        <v>939</v>
      </c>
      <c r="G652" s="101">
        <v>17.2</v>
      </c>
      <c r="H652" s="101">
        <v>48160</v>
      </c>
      <c r="I652" s="100" t="s">
        <v>945</v>
      </c>
      <c r="J652" s="101">
        <v>22.75</v>
      </c>
      <c r="K652" s="101">
        <v>63718.76</v>
      </c>
      <c r="L652" s="100" t="s">
        <v>623</v>
      </c>
      <c r="M652" s="100">
        <v>-15577.52</v>
      </c>
      <c r="N652" s="121">
        <v>-2.9600000000000001E-2</v>
      </c>
    </row>
    <row r="653" spans="3:14" x14ac:dyDescent="0.25">
      <c r="C653" s="99">
        <v>536</v>
      </c>
      <c r="D653" s="100" t="s">
        <v>943</v>
      </c>
      <c r="E653" s="100">
        <v>24</v>
      </c>
      <c r="F653" s="100" t="s">
        <v>948</v>
      </c>
      <c r="G653" s="101">
        <v>20</v>
      </c>
      <c r="H653" s="101">
        <v>48000</v>
      </c>
      <c r="I653" s="100" t="s">
        <v>945</v>
      </c>
      <c r="J653" s="101">
        <v>28.65</v>
      </c>
      <c r="K653" s="101">
        <v>68776.08</v>
      </c>
      <c r="L653" s="100" t="s">
        <v>623</v>
      </c>
      <c r="M653" s="100">
        <v>-20792.16</v>
      </c>
      <c r="N653" s="121">
        <v>-4.5600000000000002E-2</v>
      </c>
    </row>
    <row r="654" spans="3:14" x14ac:dyDescent="0.25">
      <c r="C654" s="99">
        <v>537</v>
      </c>
      <c r="D654" s="100" t="s">
        <v>429</v>
      </c>
      <c r="E654" s="100">
        <v>53</v>
      </c>
      <c r="F654" s="100" t="s">
        <v>1433</v>
      </c>
      <c r="G654" s="101">
        <v>8.9</v>
      </c>
      <c r="H654" s="101">
        <v>47170</v>
      </c>
      <c r="I654" s="100" t="s">
        <v>954</v>
      </c>
      <c r="J654" s="101">
        <v>17.3</v>
      </c>
      <c r="K654" s="101">
        <v>91725.51</v>
      </c>
      <c r="L654" s="100" t="s">
        <v>623</v>
      </c>
      <c r="M654" s="100">
        <v>-44591.02</v>
      </c>
      <c r="N654" s="121">
        <v>-8.7499999999999994E-2</v>
      </c>
    </row>
    <row r="655" spans="3:14" x14ac:dyDescent="0.25">
      <c r="C655" s="99">
        <v>538</v>
      </c>
      <c r="D655" s="100" t="s">
        <v>429</v>
      </c>
      <c r="E655" s="100">
        <v>43</v>
      </c>
      <c r="F655" s="100" t="s">
        <v>1434</v>
      </c>
      <c r="G655" s="101">
        <v>11.1</v>
      </c>
      <c r="H655" s="101">
        <v>47730</v>
      </c>
      <c r="I655" s="100" t="s">
        <v>954</v>
      </c>
      <c r="J655" s="101">
        <v>20.2</v>
      </c>
      <c r="K655" s="101">
        <v>86888.81</v>
      </c>
      <c r="L655" s="100" t="s">
        <v>623</v>
      </c>
      <c r="M655" s="100">
        <v>-39187.620000000003</v>
      </c>
      <c r="N655" s="121">
        <v>-9.2100000000000001E-2</v>
      </c>
    </row>
    <row r="656" spans="3:14" x14ac:dyDescent="0.25">
      <c r="C656" s="99">
        <v>539</v>
      </c>
      <c r="D656" s="100" t="s">
        <v>589</v>
      </c>
      <c r="E656" s="100">
        <v>44</v>
      </c>
      <c r="F656" s="100" t="s">
        <v>1436</v>
      </c>
      <c r="G656" s="101">
        <v>10.65</v>
      </c>
      <c r="H656" s="101">
        <v>46860</v>
      </c>
      <c r="I656" s="100" t="s">
        <v>974</v>
      </c>
      <c r="J656" s="101">
        <v>15.65</v>
      </c>
      <c r="K656" s="101">
        <v>68889.48</v>
      </c>
      <c r="L656" s="100" t="s">
        <v>623</v>
      </c>
      <c r="M656" s="100">
        <v>-22058.959999999999</v>
      </c>
      <c r="N656" s="121">
        <v>-5.3100000000000001E-2</v>
      </c>
    </row>
    <row r="657" spans="3:14" x14ac:dyDescent="0.25">
      <c r="C657" s="99">
        <v>540</v>
      </c>
      <c r="D657" s="100" t="s">
        <v>589</v>
      </c>
      <c r="E657" s="100">
        <v>45</v>
      </c>
      <c r="F657" s="100" t="s">
        <v>1437</v>
      </c>
      <c r="G657" s="101">
        <v>10.55</v>
      </c>
      <c r="H657" s="101">
        <v>47475</v>
      </c>
      <c r="I657" s="100" t="s">
        <v>974</v>
      </c>
      <c r="J657" s="101">
        <v>12.6</v>
      </c>
      <c r="K657" s="101">
        <v>56730.15</v>
      </c>
      <c r="L657" s="100" t="s">
        <v>623</v>
      </c>
      <c r="M657" s="100">
        <v>-9285.2999999999993</v>
      </c>
      <c r="N657" s="121">
        <v>-2.3099999999999999E-2</v>
      </c>
    </row>
    <row r="658" spans="3:14" x14ac:dyDescent="0.25">
      <c r="C658" s="99">
        <v>541</v>
      </c>
      <c r="D658" s="100" t="s">
        <v>589</v>
      </c>
      <c r="E658" s="100">
        <v>36</v>
      </c>
      <c r="F658" s="100" t="s">
        <v>1438</v>
      </c>
      <c r="G658" s="101">
        <v>12.95</v>
      </c>
      <c r="H658" s="101">
        <v>46620</v>
      </c>
      <c r="I658" s="100" t="s">
        <v>974</v>
      </c>
      <c r="J658" s="101">
        <v>14.75</v>
      </c>
      <c r="K658" s="101">
        <v>53124.12</v>
      </c>
      <c r="L658" s="100" t="s">
        <v>623</v>
      </c>
      <c r="M658" s="100">
        <v>-6528.24</v>
      </c>
      <c r="N658" s="121">
        <v>-2.2100000000000002E-2</v>
      </c>
    </row>
    <row r="659" spans="3:14" x14ac:dyDescent="0.25">
      <c r="C659" s="99">
        <v>542</v>
      </c>
      <c r="D659" s="100" t="s">
        <v>589</v>
      </c>
      <c r="E659" s="100">
        <v>38</v>
      </c>
      <c r="F659" s="100" t="s">
        <v>1439</v>
      </c>
      <c r="G659" s="101">
        <v>12.15</v>
      </c>
      <c r="H659" s="101">
        <v>46170</v>
      </c>
      <c r="I659" s="100" t="s">
        <v>974</v>
      </c>
      <c r="J659" s="101">
        <v>13.65</v>
      </c>
      <c r="K659" s="101">
        <v>51895.46</v>
      </c>
      <c r="L659" s="100" t="s">
        <v>623</v>
      </c>
      <c r="M659" s="100">
        <v>-5750.92</v>
      </c>
      <c r="N659" s="121">
        <v>-1.83E-2</v>
      </c>
    </row>
    <row r="660" spans="3:14" x14ac:dyDescent="0.25">
      <c r="C660" s="99">
        <v>543</v>
      </c>
      <c r="D660" s="100" t="s">
        <v>589</v>
      </c>
      <c r="E660" s="100">
        <v>46</v>
      </c>
      <c r="F660" s="100" t="s">
        <v>1440</v>
      </c>
      <c r="G660" s="101">
        <v>10.199999999999999</v>
      </c>
      <c r="H660" s="101">
        <v>46920</v>
      </c>
      <c r="I660" s="100" t="s">
        <v>974</v>
      </c>
      <c r="J660" s="101">
        <v>12.25</v>
      </c>
      <c r="K660" s="101">
        <v>56380.82</v>
      </c>
      <c r="L660" s="100" t="s">
        <v>623</v>
      </c>
      <c r="M660" s="100">
        <v>-9491.64</v>
      </c>
      <c r="N660" s="121">
        <v>-2.5899999999999999E-2</v>
      </c>
    </row>
    <row r="661" spans="3:14" x14ac:dyDescent="0.25">
      <c r="C661" s="99">
        <v>544</v>
      </c>
      <c r="D661" s="100" t="s">
        <v>589</v>
      </c>
      <c r="E661" s="100">
        <v>34</v>
      </c>
      <c r="F661" s="100" t="s">
        <v>1441</v>
      </c>
      <c r="G661" s="101">
        <v>13.85</v>
      </c>
      <c r="H661" s="101">
        <v>47090</v>
      </c>
      <c r="I661" s="100" t="s">
        <v>974</v>
      </c>
      <c r="J661" s="101">
        <v>17.5</v>
      </c>
      <c r="K661" s="101">
        <v>59522.78</v>
      </c>
      <c r="L661" s="100" t="s">
        <v>623</v>
      </c>
      <c r="M661" s="100">
        <v>-12455.56</v>
      </c>
      <c r="N661" s="121">
        <v>-4.2500000000000003E-2</v>
      </c>
    </row>
    <row r="662" spans="3:14" x14ac:dyDescent="0.25">
      <c r="C662" s="99">
        <v>545</v>
      </c>
      <c r="D662" s="100" t="s">
        <v>589</v>
      </c>
      <c r="E662" s="100">
        <v>49</v>
      </c>
      <c r="F662" s="100" t="s">
        <v>1442</v>
      </c>
      <c r="G662" s="101">
        <v>9.5500000000000007</v>
      </c>
      <c r="H662" s="101">
        <v>46795</v>
      </c>
      <c r="I662" s="100" t="s">
        <v>974</v>
      </c>
      <c r="J662" s="101">
        <v>11.15</v>
      </c>
      <c r="K662" s="101">
        <v>54667.83</v>
      </c>
      <c r="L662" s="100" t="s">
        <v>623</v>
      </c>
      <c r="M662" s="100">
        <v>-7905.66</v>
      </c>
      <c r="N662" s="121">
        <v>-2.01E-2</v>
      </c>
    </row>
    <row r="663" spans="3:14" x14ac:dyDescent="0.25">
      <c r="C663" s="99">
        <v>546</v>
      </c>
      <c r="D663" s="100" t="s">
        <v>589</v>
      </c>
      <c r="E663" s="100">
        <v>47</v>
      </c>
      <c r="F663" s="100" t="s">
        <v>1443</v>
      </c>
      <c r="G663" s="101">
        <v>9.8000000000000007</v>
      </c>
      <c r="H663" s="101">
        <v>46060</v>
      </c>
      <c r="I663" s="100" t="s">
        <v>974</v>
      </c>
      <c r="J663" s="101">
        <v>10</v>
      </c>
      <c r="K663" s="101">
        <v>47031.49</v>
      </c>
      <c r="L663" s="100" t="s">
        <v>623</v>
      </c>
      <c r="M663" s="100">
        <v>-1002.98</v>
      </c>
      <c r="N663" s="121">
        <v>-2.8E-3</v>
      </c>
    </row>
    <row r="664" spans="3:14" x14ac:dyDescent="0.25">
      <c r="C664" s="99">
        <v>547</v>
      </c>
      <c r="D664" s="100" t="s">
        <v>396</v>
      </c>
      <c r="E664" s="100">
        <v>43</v>
      </c>
      <c r="F664" s="100" t="s">
        <v>985</v>
      </c>
      <c r="G664" s="101">
        <v>11.9</v>
      </c>
      <c r="H664" s="101">
        <v>51170</v>
      </c>
      <c r="I664" s="100" t="s">
        <v>986</v>
      </c>
      <c r="J664" s="101">
        <v>19.100000000000001</v>
      </c>
      <c r="K664" s="101">
        <v>82158.81</v>
      </c>
      <c r="L664" s="100" t="s">
        <v>623</v>
      </c>
      <c r="M664" s="100">
        <v>-31017.62</v>
      </c>
      <c r="N664" s="121">
        <v>-5.6300000000000003E-2</v>
      </c>
    </row>
    <row r="665" spans="3:14" x14ac:dyDescent="0.25">
      <c r="C665" s="99">
        <v>548</v>
      </c>
      <c r="D665" s="100" t="s">
        <v>669</v>
      </c>
      <c r="E665" s="100">
        <v>65</v>
      </c>
      <c r="F665" s="100" t="s">
        <v>1444</v>
      </c>
      <c r="G665" s="101">
        <v>7.15</v>
      </c>
      <c r="H665" s="101">
        <v>46475</v>
      </c>
      <c r="I665" s="100" t="s">
        <v>989</v>
      </c>
      <c r="J665" s="101">
        <v>3.4</v>
      </c>
      <c r="K665" s="101">
        <v>22143.55</v>
      </c>
      <c r="L665" s="100" t="s">
        <v>623</v>
      </c>
      <c r="M665" s="100">
        <v>24287.9</v>
      </c>
      <c r="N665" s="121">
        <v>5.1299999999999998E-2</v>
      </c>
    </row>
    <row r="666" spans="3:14" x14ac:dyDescent="0.25">
      <c r="C666" s="99">
        <v>549</v>
      </c>
      <c r="D666" s="100" t="s">
        <v>669</v>
      </c>
      <c r="E666" s="100">
        <v>65</v>
      </c>
      <c r="F666" s="100" t="s">
        <v>1445</v>
      </c>
      <c r="G666" s="101">
        <v>7.15</v>
      </c>
      <c r="H666" s="101">
        <v>46475</v>
      </c>
      <c r="I666" s="100" t="s">
        <v>989</v>
      </c>
      <c r="J666" s="101">
        <v>3.65</v>
      </c>
      <c r="K666" s="101">
        <v>23768.55</v>
      </c>
      <c r="L666" s="100" t="s">
        <v>623</v>
      </c>
      <c r="M666" s="100">
        <v>22662.9</v>
      </c>
      <c r="N666" s="121">
        <v>4.48E-2</v>
      </c>
    </row>
    <row r="667" spans="3:14" x14ac:dyDescent="0.25">
      <c r="C667" s="99">
        <v>550</v>
      </c>
      <c r="D667" s="100" t="s">
        <v>669</v>
      </c>
      <c r="E667" s="100">
        <v>55</v>
      </c>
      <c r="F667" s="100" t="s">
        <v>1446</v>
      </c>
      <c r="G667" s="101">
        <v>8.4</v>
      </c>
      <c r="H667" s="101">
        <v>46200</v>
      </c>
      <c r="I667" s="100" t="s">
        <v>989</v>
      </c>
      <c r="J667" s="101">
        <v>9.75</v>
      </c>
      <c r="K667" s="101">
        <v>53661.85</v>
      </c>
      <c r="L667" s="100" t="s">
        <v>623</v>
      </c>
      <c r="M667" s="100">
        <v>-7498.7</v>
      </c>
      <c r="N667" s="121">
        <v>-1.78E-2</v>
      </c>
    </row>
    <row r="668" spans="3:14" x14ac:dyDescent="0.25">
      <c r="C668" s="99">
        <v>551</v>
      </c>
      <c r="D668" s="100" t="s">
        <v>669</v>
      </c>
      <c r="E668" s="100">
        <v>67</v>
      </c>
      <c r="F668" s="100" t="s">
        <v>1447</v>
      </c>
      <c r="G668" s="101">
        <v>6.85</v>
      </c>
      <c r="H668" s="101">
        <v>45895</v>
      </c>
      <c r="I668" s="100" t="s">
        <v>989</v>
      </c>
      <c r="J668" s="101">
        <v>7.75</v>
      </c>
      <c r="K668" s="101">
        <v>51969.89</v>
      </c>
      <c r="L668" s="100" t="s">
        <v>623</v>
      </c>
      <c r="M668" s="100">
        <v>-6119.78</v>
      </c>
      <c r="N668" s="121">
        <v>-1.2500000000000001E-2</v>
      </c>
    </row>
    <row r="669" spans="3:14" x14ac:dyDescent="0.25">
      <c r="C669" s="99">
        <v>552</v>
      </c>
      <c r="D669" s="100" t="s">
        <v>581</v>
      </c>
      <c r="E669" s="100">
        <v>81</v>
      </c>
      <c r="F669" s="100" t="s">
        <v>957</v>
      </c>
      <c r="G669" s="101">
        <v>5.8</v>
      </c>
      <c r="H669" s="101">
        <v>46980</v>
      </c>
      <c r="I669" s="100" t="s">
        <v>989</v>
      </c>
      <c r="J669" s="101">
        <v>6.1</v>
      </c>
      <c r="K669" s="101">
        <v>49464.27</v>
      </c>
      <c r="L669" s="100" t="s">
        <v>623</v>
      </c>
      <c r="M669" s="100">
        <v>-2538.54</v>
      </c>
      <c r="N669" s="121">
        <v>-1.41E-2</v>
      </c>
    </row>
    <row r="670" spans="3:14" x14ac:dyDescent="0.25">
      <c r="C670" s="99">
        <v>553</v>
      </c>
      <c r="D670" s="100" t="s">
        <v>581</v>
      </c>
      <c r="E670" s="100">
        <v>95</v>
      </c>
      <c r="F670" s="100" t="s">
        <v>963</v>
      </c>
      <c r="G670" s="101">
        <v>4.9000000000000004</v>
      </c>
      <c r="H670" s="101">
        <v>46550</v>
      </c>
      <c r="I670" s="100" t="s">
        <v>989</v>
      </c>
      <c r="J670" s="101">
        <v>5.6</v>
      </c>
      <c r="K670" s="101">
        <v>53263.65</v>
      </c>
      <c r="L670" s="100" t="s">
        <v>623</v>
      </c>
      <c r="M670" s="100">
        <v>-6777.3</v>
      </c>
      <c r="N670" s="121">
        <v>-3.2300000000000002E-2</v>
      </c>
    </row>
    <row r="671" spans="3:14" x14ac:dyDescent="0.25">
      <c r="C671" s="99">
        <v>554</v>
      </c>
      <c r="D671" s="100" t="s">
        <v>581</v>
      </c>
      <c r="E671" s="100">
        <v>114</v>
      </c>
      <c r="F671" s="100" t="s">
        <v>965</v>
      </c>
      <c r="G671" s="101">
        <v>4.1500000000000004</v>
      </c>
      <c r="H671" s="101">
        <v>47310</v>
      </c>
      <c r="I671" s="100" t="s">
        <v>989</v>
      </c>
      <c r="J671" s="101">
        <v>5.2</v>
      </c>
      <c r="K671" s="101">
        <v>59356.38</v>
      </c>
      <c r="L671" s="100" t="s">
        <v>623</v>
      </c>
      <c r="M671" s="100">
        <v>-12122.76</v>
      </c>
      <c r="N671" s="121">
        <v>-4.87E-2</v>
      </c>
    </row>
    <row r="672" spans="3:14" x14ac:dyDescent="0.25">
      <c r="C672" s="99">
        <v>555</v>
      </c>
      <c r="D672" s="100" t="s">
        <v>581</v>
      </c>
      <c r="E672" s="100">
        <v>130</v>
      </c>
      <c r="F672" s="100" t="s">
        <v>964</v>
      </c>
      <c r="G672" s="101">
        <v>3.7</v>
      </c>
      <c r="H672" s="101">
        <v>48100</v>
      </c>
      <c r="I672" s="100" t="s">
        <v>989</v>
      </c>
      <c r="J672" s="101">
        <v>4.55</v>
      </c>
      <c r="K672" s="101">
        <v>59237.1</v>
      </c>
      <c r="L672" s="100" t="s">
        <v>623</v>
      </c>
      <c r="M672" s="100">
        <v>-11224.2</v>
      </c>
      <c r="N672" s="121">
        <v>-4.0500000000000001E-2</v>
      </c>
    </row>
    <row r="673" spans="3:14" x14ac:dyDescent="0.25">
      <c r="C673" s="99">
        <v>556</v>
      </c>
      <c r="D673" s="100" t="s">
        <v>581</v>
      </c>
      <c r="E673" s="100">
        <v>113</v>
      </c>
      <c r="F673" s="100" t="s">
        <v>955</v>
      </c>
      <c r="G673" s="101">
        <v>4.2</v>
      </c>
      <c r="H673" s="101">
        <v>47460</v>
      </c>
      <c r="I673" s="100" t="s">
        <v>989</v>
      </c>
      <c r="J673" s="101">
        <v>4.8499999999999996</v>
      </c>
      <c r="K673" s="101">
        <v>54880.71</v>
      </c>
      <c r="L673" s="100" t="s">
        <v>623</v>
      </c>
      <c r="M673" s="100">
        <v>-7496.42</v>
      </c>
      <c r="N673" s="121">
        <v>-2.7900000000000001E-2</v>
      </c>
    </row>
    <row r="674" spans="3:14" x14ac:dyDescent="0.25">
      <c r="C674" s="99">
        <v>557</v>
      </c>
      <c r="D674" s="100" t="s">
        <v>581</v>
      </c>
      <c r="E674" s="100">
        <v>118</v>
      </c>
      <c r="F674" s="100" t="s">
        <v>959</v>
      </c>
      <c r="G674" s="101">
        <v>4</v>
      </c>
      <c r="H674" s="101">
        <v>47200</v>
      </c>
      <c r="I674" s="100" t="s">
        <v>989</v>
      </c>
      <c r="J674" s="101">
        <v>4.25</v>
      </c>
      <c r="K674" s="101">
        <v>50229.06</v>
      </c>
      <c r="L674" s="100" t="s">
        <v>623</v>
      </c>
      <c r="M674" s="100">
        <v>-3108.12</v>
      </c>
      <c r="N674" s="121">
        <v>-1.32E-2</v>
      </c>
    </row>
    <row r="675" spans="3:14" x14ac:dyDescent="0.25">
      <c r="C675" s="99">
        <v>558</v>
      </c>
      <c r="D675" s="100" t="s">
        <v>581</v>
      </c>
      <c r="E675" s="100">
        <v>113</v>
      </c>
      <c r="F675" s="100" t="s">
        <v>953</v>
      </c>
      <c r="G675" s="101">
        <v>4.1500000000000004</v>
      </c>
      <c r="H675" s="101">
        <v>46895</v>
      </c>
      <c r="I675" s="100" t="s">
        <v>989</v>
      </c>
      <c r="J675" s="101">
        <v>4.45</v>
      </c>
      <c r="K675" s="101">
        <v>50360.71</v>
      </c>
      <c r="L675" s="100" t="s">
        <v>623</v>
      </c>
      <c r="M675" s="100">
        <v>-3541.42</v>
      </c>
      <c r="N675" s="121">
        <v>-1.37E-2</v>
      </c>
    </row>
    <row r="676" spans="3:14" x14ac:dyDescent="0.25">
      <c r="C676" s="99">
        <v>559</v>
      </c>
      <c r="D676" s="100" t="s">
        <v>581</v>
      </c>
      <c r="E676" s="100">
        <v>98</v>
      </c>
      <c r="F676" s="100" t="s">
        <v>973</v>
      </c>
      <c r="G676" s="101">
        <v>4.95</v>
      </c>
      <c r="H676" s="101">
        <v>48510</v>
      </c>
      <c r="I676" s="100" t="s">
        <v>989</v>
      </c>
      <c r="J676" s="101">
        <v>6.85</v>
      </c>
      <c r="K676" s="101">
        <v>67195.66</v>
      </c>
      <c r="L676" s="100" t="s">
        <v>623</v>
      </c>
      <c r="M676" s="100">
        <v>-18751.32</v>
      </c>
      <c r="N676" s="121">
        <v>-7.9600000000000004E-2</v>
      </c>
    </row>
    <row r="677" spans="3:14" x14ac:dyDescent="0.25">
      <c r="C677" s="99">
        <v>560</v>
      </c>
      <c r="D677" s="100" t="s">
        <v>669</v>
      </c>
      <c r="E677" s="100">
        <v>46</v>
      </c>
      <c r="F677" s="100" t="s">
        <v>988</v>
      </c>
      <c r="G677" s="101">
        <v>10.9</v>
      </c>
      <c r="H677" s="101">
        <v>50140</v>
      </c>
      <c r="I677" s="100" t="s">
        <v>989</v>
      </c>
      <c r="J677" s="101">
        <v>19.399999999999999</v>
      </c>
      <c r="K677" s="101">
        <v>89270.82</v>
      </c>
      <c r="L677" s="100" t="s">
        <v>623</v>
      </c>
      <c r="M677" s="100">
        <v>-39161.64</v>
      </c>
      <c r="N677" s="121">
        <v>-9.5500000000000002E-2</v>
      </c>
    </row>
    <row r="678" spans="3:14" x14ac:dyDescent="0.25">
      <c r="C678" s="99">
        <v>561</v>
      </c>
      <c r="D678" s="100" t="s">
        <v>669</v>
      </c>
      <c r="E678" s="100">
        <v>52</v>
      </c>
      <c r="F678" s="100" t="s">
        <v>990</v>
      </c>
      <c r="G678" s="101">
        <v>9.8000000000000007</v>
      </c>
      <c r="H678" s="101">
        <v>50960</v>
      </c>
      <c r="I678" s="100" t="s">
        <v>989</v>
      </c>
      <c r="J678" s="101">
        <v>16.8</v>
      </c>
      <c r="K678" s="101">
        <v>87394.84</v>
      </c>
      <c r="L678" s="100" t="s">
        <v>623</v>
      </c>
      <c r="M678" s="100">
        <v>-36469.68</v>
      </c>
      <c r="N678" s="121">
        <v>-8.2299999999999998E-2</v>
      </c>
    </row>
    <row r="679" spans="3:14" x14ac:dyDescent="0.25">
      <c r="C679" s="99">
        <v>562</v>
      </c>
      <c r="D679" s="100" t="s">
        <v>669</v>
      </c>
      <c r="E679" s="100">
        <v>60</v>
      </c>
      <c r="F679" s="100" t="s">
        <v>984</v>
      </c>
      <c r="G679" s="101">
        <v>8.3000000000000007</v>
      </c>
      <c r="H679" s="101">
        <v>49800</v>
      </c>
      <c r="I679" s="100" t="s">
        <v>989</v>
      </c>
      <c r="J679" s="101">
        <v>13.85</v>
      </c>
      <c r="K679" s="101">
        <v>83140.2</v>
      </c>
      <c r="L679" s="100" t="s">
        <v>623</v>
      </c>
      <c r="M679" s="100">
        <v>-33380.400000000001</v>
      </c>
      <c r="N679" s="121">
        <v>-6.8099999999999994E-2</v>
      </c>
    </row>
    <row r="680" spans="3:14" x14ac:dyDescent="0.25">
      <c r="C680" s="99">
        <v>563</v>
      </c>
      <c r="D680" s="100" t="s">
        <v>669</v>
      </c>
      <c r="E680" s="100">
        <v>60</v>
      </c>
      <c r="F680" s="100" t="s">
        <v>991</v>
      </c>
      <c r="G680" s="101">
        <v>8.5</v>
      </c>
      <c r="H680" s="101">
        <v>51000</v>
      </c>
      <c r="I680" s="100" t="s">
        <v>989</v>
      </c>
      <c r="J680" s="101">
        <v>17.45</v>
      </c>
      <c r="K680" s="101">
        <v>104740.2</v>
      </c>
      <c r="L680" s="100" t="s">
        <v>623</v>
      </c>
      <c r="M680" s="100">
        <v>-53780.4</v>
      </c>
      <c r="N680" s="121">
        <v>-9.8000000000000004E-2</v>
      </c>
    </row>
    <row r="681" spans="3:14" x14ac:dyDescent="0.25">
      <c r="C681" s="99">
        <v>564</v>
      </c>
      <c r="D681" s="100" t="s">
        <v>589</v>
      </c>
      <c r="E681" s="100">
        <v>45</v>
      </c>
      <c r="F681" s="100" t="s">
        <v>1448</v>
      </c>
      <c r="G681" s="101">
        <v>11.25</v>
      </c>
      <c r="H681" s="101">
        <v>50625</v>
      </c>
      <c r="I681" s="100" t="s">
        <v>1017</v>
      </c>
      <c r="J681" s="101">
        <v>16.2</v>
      </c>
      <c r="K681" s="101">
        <v>72930.149999999994</v>
      </c>
      <c r="L681" s="100" t="s">
        <v>623</v>
      </c>
      <c r="M681" s="100">
        <v>-22335.3</v>
      </c>
      <c r="N681" s="121">
        <v>-5.9299999999999999E-2</v>
      </c>
    </row>
    <row r="682" spans="3:14" x14ac:dyDescent="0.25">
      <c r="C682" s="99">
        <v>565</v>
      </c>
      <c r="D682" s="100" t="s">
        <v>589</v>
      </c>
      <c r="E682" s="100">
        <v>49</v>
      </c>
      <c r="F682" s="100" t="s">
        <v>1003</v>
      </c>
      <c r="G682" s="101">
        <v>9.9499999999999993</v>
      </c>
      <c r="H682" s="101">
        <v>48755</v>
      </c>
      <c r="I682" s="100" t="s">
        <v>1017</v>
      </c>
      <c r="J682" s="101">
        <v>15.35</v>
      </c>
      <c r="K682" s="101">
        <v>75247.83</v>
      </c>
      <c r="L682" s="100" t="s">
        <v>623</v>
      </c>
      <c r="M682" s="100">
        <v>-26525.66</v>
      </c>
      <c r="N682" s="121">
        <v>-6.3600000000000004E-2</v>
      </c>
    </row>
    <row r="683" spans="3:14" x14ac:dyDescent="0.25">
      <c r="C683" s="99">
        <v>566</v>
      </c>
      <c r="D683" s="100" t="s">
        <v>589</v>
      </c>
      <c r="E683" s="100">
        <v>55</v>
      </c>
      <c r="F683" s="100" t="s">
        <v>986</v>
      </c>
      <c r="G683" s="101">
        <v>8.65</v>
      </c>
      <c r="H683" s="101">
        <v>47575</v>
      </c>
      <c r="I683" s="100" t="s">
        <v>1017</v>
      </c>
      <c r="J683" s="101">
        <v>13.5</v>
      </c>
      <c r="K683" s="101">
        <v>74286.850000000006</v>
      </c>
      <c r="L683" s="100" t="s">
        <v>623</v>
      </c>
      <c r="M683" s="100">
        <v>-26748.7</v>
      </c>
      <c r="N683" s="121">
        <v>-5.9799999999999999E-2</v>
      </c>
    </row>
    <row r="684" spans="3:14" x14ac:dyDescent="0.25">
      <c r="C684" s="99">
        <v>567</v>
      </c>
      <c r="D684" s="100" t="s">
        <v>589</v>
      </c>
      <c r="E684" s="100">
        <v>51</v>
      </c>
      <c r="F684" s="100" t="s">
        <v>1449</v>
      </c>
      <c r="G684" s="101">
        <v>9.4</v>
      </c>
      <c r="H684" s="101">
        <v>47940</v>
      </c>
      <c r="I684" s="100" t="s">
        <v>1017</v>
      </c>
      <c r="J684" s="101">
        <v>16.45</v>
      </c>
      <c r="K684" s="101">
        <v>83929.17</v>
      </c>
      <c r="L684" s="100" t="s">
        <v>623</v>
      </c>
      <c r="M684" s="100">
        <v>-36023.339999999997</v>
      </c>
      <c r="N684" s="121">
        <v>-7.8E-2</v>
      </c>
    </row>
    <row r="685" spans="3:14" x14ac:dyDescent="0.25">
      <c r="C685" s="99">
        <v>568</v>
      </c>
      <c r="D685" s="100" t="s">
        <v>589</v>
      </c>
      <c r="E685" s="100">
        <v>43</v>
      </c>
      <c r="F685" s="100" t="s">
        <v>995</v>
      </c>
      <c r="G685" s="101">
        <v>10.8</v>
      </c>
      <c r="H685" s="101">
        <v>46440</v>
      </c>
      <c r="I685" s="100" t="s">
        <v>1017</v>
      </c>
      <c r="J685" s="101">
        <v>19.149999999999999</v>
      </c>
      <c r="K685" s="101">
        <v>82373.81</v>
      </c>
      <c r="L685" s="100" t="s">
        <v>623</v>
      </c>
      <c r="M685" s="100">
        <v>-35962.620000000003</v>
      </c>
      <c r="N685" s="121">
        <v>-9.3799999999999994E-2</v>
      </c>
    </row>
    <row r="686" spans="3:14" x14ac:dyDescent="0.25">
      <c r="C686" s="99">
        <v>569</v>
      </c>
      <c r="D686" s="100" t="s">
        <v>589</v>
      </c>
      <c r="E686" s="100">
        <v>46</v>
      </c>
      <c r="F686" s="100" t="s">
        <v>1450</v>
      </c>
      <c r="G686" s="101">
        <v>9.9499999999999993</v>
      </c>
      <c r="H686" s="101">
        <v>45770</v>
      </c>
      <c r="I686" s="100" t="s">
        <v>1017</v>
      </c>
      <c r="J686" s="101">
        <v>18.350000000000001</v>
      </c>
      <c r="K686" s="101">
        <v>84440.82</v>
      </c>
      <c r="L686" s="100" t="s">
        <v>623</v>
      </c>
      <c r="M686" s="100">
        <v>-38701.64</v>
      </c>
      <c r="N686" s="121">
        <v>-9.3399999999999997E-2</v>
      </c>
    </row>
    <row r="687" spans="3:14" x14ac:dyDescent="0.25">
      <c r="C687" s="99">
        <v>570</v>
      </c>
      <c r="D687" s="100" t="s">
        <v>589</v>
      </c>
      <c r="E687" s="100">
        <v>36</v>
      </c>
      <c r="F687" s="100" t="s">
        <v>1006</v>
      </c>
      <c r="G687" s="101">
        <v>13</v>
      </c>
      <c r="H687" s="101">
        <v>46800</v>
      </c>
      <c r="I687" s="100" t="s">
        <v>1017</v>
      </c>
      <c r="J687" s="101">
        <v>21.95</v>
      </c>
      <c r="K687" s="101">
        <v>79044.12</v>
      </c>
      <c r="L687" s="100" t="s">
        <v>623</v>
      </c>
      <c r="M687" s="100">
        <v>-32268.240000000002</v>
      </c>
      <c r="N687" s="121">
        <v>-0.10299999999999999</v>
      </c>
    </row>
    <row r="688" spans="3:14" x14ac:dyDescent="0.25">
      <c r="C688" s="99">
        <v>571</v>
      </c>
      <c r="D688" s="100" t="s">
        <v>589</v>
      </c>
      <c r="E688" s="100">
        <v>41</v>
      </c>
      <c r="F688" s="100" t="s">
        <v>1008</v>
      </c>
      <c r="G688" s="101">
        <v>11.6</v>
      </c>
      <c r="H688" s="101">
        <v>47560</v>
      </c>
      <c r="I688" s="100" t="s">
        <v>1017</v>
      </c>
      <c r="J688" s="101">
        <v>19.25</v>
      </c>
      <c r="K688" s="101">
        <v>78952.47</v>
      </c>
      <c r="L688" s="100" t="s">
        <v>623</v>
      </c>
      <c r="M688" s="100">
        <v>-31419.94</v>
      </c>
      <c r="N688" s="121">
        <v>-9.1899999999999996E-2</v>
      </c>
    </row>
    <row r="689" spans="3:14" x14ac:dyDescent="0.25">
      <c r="C689" s="99">
        <v>572</v>
      </c>
      <c r="D689" s="100" t="s">
        <v>918</v>
      </c>
      <c r="E689" s="100">
        <v>23</v>
      </c>
      <c r="F689" s="100" t="s">
        <v>1005</v>
      </c>
      <c r="G689" s="101">
        <v>17.149999999999999</v>
      </c>
      <c r="H689" s="101">
        <v>39445</v>
      </c>
      <c r="I689" s="100" t="s">
        <v>1036</v>
      </c>
      <c r="J689" s="101">
        <v>16.350000000000001</v>
      </c>
      <c r="K689" s="101">
        <v>37620.410000000003</v>
      </c>
      <c r="L689" s="100" t="s">
        <v>623</v>
      </c>
      <c r="M689" s="100">
        <v>1809.18</v>
      </c>
      <c r="N689" s="121">
        <v>5.0000000000000001E-3</v>
      </c>
    </row>
    <row r="690" spans="3:14" x14ac:dyDescent="0.25">
      <c r="C690" s="99">
        <v>573</v>
      </c>
      <c r="D690" s="100" t="s">
        <v>918</v>
      </c>
      <c r="E690" s="100">
        <v>31</v>
      </c>
      <c r="F690" s="100" t="s">
        <v>1035</v>
      </c>
      <c r="G690" s="101">
        <v>15.9</v>
      </c>
      <c r="H690" s="101">
        <v>49290</v>
      </c>
      <c r="I690" s="100" t="s">
        <v>1036</v>
      </c>
      <c r="J690" s="101">
        <v>29.8</v>
      </c>
      <c r="K690" s="101">
        <v>92400.77</v>
      </c>
      <c r="L690" s="100" t="s">
        <v>623</v>
      </c>
      <c r="M690" s="100">
        <v>-43131.54</v>
      </c>
      <c r="N690" s="121">
        <v>-7.9899999999999999E-2</v>
      </c>
    </row>
    <row r="691" spans="3:14" x14ac:dyDescent="0.25">
      <c r="C691" s="99">
        <v>574</v>
      </c>
      <c r="D691" s="100" t="s">
        <v>918</v>
      </c>
      <c r="E691" s="100">
        <v>26</v>
      </c>
      <c r="F691" s="100" t="s">
        <v>1037</v>
      </c>
      <c r="G691" s="101">
        <v>18.25</v>
      </c>
      <c r="H691" s="101">
        <v>47450</v>
      </c>
      <c r="I691" s="100" t="s">
        <v>1036</v>
      </c>
      <c r="J691" s="101">
        <v>32.700000000000003</v>
      </c>
      <c r="K691" s="101">
        <v>85037.42</v>
      </c>
      <c r="L691" s="100" t="s">
        <v>623</v>
      </c>
      <c r="M691" s="100">
        <v>-37604.839999999997</v>
      </c>
      <c r="N691" s="121">
        <v>-8.1799999999999998E-2</v>
      </c>
    </row>
    <row r="692" spans="3:14" x14ac:dyDescent="0.25">
      <c r="C692" s="99">
        <v>575</v>
      </c>
      <c r="D692" s="100" t="s">
        <v>918</v>
      </c>
      <c r="E692" s="100">
        <v>30</v>
      </c>
      <c r="F692" s="100" t="s">
        <v>1038</v>
      </c>
      <c r="G692" s="101">
        <v>15.9</v>
      </c>
      <c r="H692" s="101">
        <v>47700</v>
      </c>
      <c r="I692" s="100" t="s">
        <v>1036</v>
      </c>
      <c r="J692" s="101">
        <v>26.85</v>
      </c>
      <c r="K692" s="101">
        <v>80570.100000000006</v>
      </c>
      <c r="L692" s="100" t="s">
        <v>623</v>
      </c>
      <c r="M692" s="100">
        <v>-32890.199999999997</v>
      </c>
      <c r="N692" s="121">
        <v>-6.4799999999999996E-2</v>
      </c>
    </row>
    <row r="693" spans="3:14" x14ac:dyDescent="0.25">
      <c r="C693" s="99">
        <v>576</v>
      </c>
      <c r="D693" s="100" t="s">
        <v>918</v>
      </c>
      <c r="E693" s="100">
        <v>31</v>
      </c>
      <c r="F693" s="100" t="s">
        <v>1039</v>
      </c>
      <c r="G693" s="101">
        <v>15.4</v>
      </c>
      <c r="H693" s="101">
        <v>47740</v>
      </c>
      <c r="I693" s="100" t="s">
        <v>1036</v>
      </c>
      <c r="J693" s="101">
        <v>24.45</v>
      </c>
      <c r="K693" s="101">
        <v>75815.77</v>
      </c>
      <c r="L693" s="100" t="s">
        <v>623</v>
      </c>
      <c r="M693" s="100">
        <v>-28096.54</v>
      </c>
      <c r="N693" s="121">
        <v>-5.5100000000000003E-2</v>
      </c>
    </row>
    <row r="694" spans="3:14" x14ac:dyDescent="0.25">
      <c r="C694" s="99">
        <v>577</v>
      </c>
      <c r="D694" s="100" t="s">
        <v>814</v>
      </c>
      <c r="E694" s="100">
        <v>96</v>
      </c>
      <c r="F694" s="100" t="s">
        <v>1453</v>
      </c>
      <c r="G694" s="101">
        <v>5.0999999999999996</v>
      </c>
      <c r="H694" s="101">
        <v>48960</v>
      </c>
      <c r="I694" s="100" t="s">
        <v>1454</v>
      </c>
      <c r="J694" s="101">
        <v>7.9</v>
      </c>
      <c r="K694" s="101">
        <v>75904.320000000007</v>
      </c>
      <c r="L694" s="100" t="s">
        <v>623</v>
      </c>
      <c r="M694" s="100">
        <v>-27008.639999999999</v>
      </c>
      <c r="N694" s="121">
        <v>-5.1200000000000002E-2</v>
      </c>
    </row>
    <row r="695" spans="3:14" x14ac:dyDescent="0.25">
      <c r="C695" s="99">
        <v>578</v>
      </c>
      <c r="D695" s="100" t="s">
        <v>1044</v>
      </c>
      <c r="E695" s="100">
        <v>51</v>
      </c>
      <c r="F695" s="100" t="s">
        <v>1045</v>
      </c>
      <c r="G695" s="101">
        <v>9.25</v>
      </c>
      <c r="H695" s="101">
        <v>47175</v>
      </c>
      <c r="I695" s="100" t="s">
        <v>1046</v>
      </c>
      <c r="J695" s="101">
        <v>15.95</v>
      </c>
      <c r="K695" s="101">
        <v>81379.17</v>
      </c>
      <c r="L695" s="100" t="s">
        <v>623</v>
      </c>
      <c r="M695" s="100">
        <v>-34238.339999999997</v>
      </c>
      <c r="N695" s="121">
        <v>-6.6600000000000006E-2</v>
      </c>
    </row>
    <row r="696" spans="3:14" x14ac:dyDescent="0.25">
      <c r="C696" s="99">
        <v>579</v>
      </c>
      <c r="D696" s="100" t="s">
        <v>943</v>
      </c>
      <c r="E696" s="100">
        <v>33</v>
      </c>
      <c r="F696" s="100" t="s">
        <v>1458</v>
      </c>
      <c r="G696" s="101">
        <v>15.05</v>
      </c>
      <c r="H696" s="101">
        <v>49665</v>
      </c>
      <c r="I696" s="100" t="s">
        <v>1056</v>
      </c>
      <c r="J696" s="101">
        <v>2.31</v>
      </c>
      <c r="K696" s="101">
        <v>7645.11</v>
      </c>
      <c r="L696" s="100" t="s">
        <v>623</v>
      </c>
      <c r="M696" s="100">
        <v>41997.78</v>
      </c>
      <c r="N696" s="121">
        <v>8.4900000000000003E-2</v>
      </c>
    </row>
    <row r="697" spans="3:14" x14ac:dyDescent="0.25">
      <c r="C697" s="99">
        <v>580</v>
      </c>
      <c r="D697" s="100" t="s">
        <v>943</v>
      </c>
      <c r="E697" s="100">
        <v>37</v>
      </c>
      <c r="F697" s="100" t="s">
        <v>971</v>
      </c>
      <c r="G697" s="101">
        <v>13.45</v>
      </c>
      <c r="H697" s="101">
        <v>49765</v>
      </c>
      <c r="I697" s="100" t="s">
        <v>1056</v>
      </c>
      <c r="J697" s="101">
        <v>1.97</v>
      </c>
      <c r="K697" s="101">
        <v>7313.79</v>
      </c>
      <c r="L697" s="100" t="s">
        <v>623</v>
      </c>
      <c r="M697" s="100">
        <v>42426.42</v>
      </c>
      <c r="N697" s="121">
        <v>7.8200000000000006E-2</v>
      </c>
    </row>
    <row r="698" spans="3:14" x14ac:dyDescent="0.25">
      <c r="C698" s="99">
        <v>581</v>
      </c>
      <c r="D698" s="100" t="s">
        <v>943</v>
      </c>
      <c r="E698" s="100">
        <v>27</v>
      </c>
      <c r="F698" s="100" t="s">
        <v>974</v>
      </c>
      <c r="G698" s="101">
        <v>17.8</v>
      </c>
      <c r="H698" s="101">
        <v>48060</v>
      </c>
      <c r="I698" s="100" t="s">
        <v>1056</v>
      </c>
      <c r="J698" s="101">
        <v>3.9</v>
      </c>
      <c r="K698" s="101">
        <v>10548.09</v>
      </c>
      <c r="L698" s="100" t="s">
        <v>623</v>
      </c>
      <c r="M698" s="100">
        <v>37493.82</v>
      </c>
      <c r="N698" s="121">
        <v>8.5599999999999996E-2</v>
      </c>
    </row>
    <row r="699" spans="3:14" x14ac:dyDescent="0.25">
      <c r="C699" s="99">
        <v>582</v>
      </c>
      <c r="D699" s="100" t="s">
        <v>993</v>
      </c>
      <c r="E699" s="100">
        <v>74</v>
      </c>
      <c r="F699" s="100" t="s">
        <v>999</v>
      </c>
      <c r="G699" s="101">
        <v>5.6</v>
      </c>
      <c r="H699" s="101">
        <v>41440</v>
      </c>
      <c r="I699" s="100" t="s">
        <v>1056</v>
      </c>
      <c r="J699" s="101">
        <v>0.51</v>
      </c>
      <c r="K699" s="101">
        <v>3823.58</v>
      </c>
      <c r="L699" s="100" t="s">
        <v>623</v>
      </c>
      <c r="M699" s="100">
        <v>37566.839999999997</v>
      </c>
      <c r="N699" s="121">
        <v>9.7799999999999998E-2</v>
      </c>
    </row>
    <row r="700" spans="3:14" x14ac:dyDescent="0.25">
      <c r="C700" s="99">
        <v>583</v>
      </c>
      <c r="D700" s="100" t="s">
        <v>993</v>
      </c>
      <c r="E700" s="100">
        <v>73</v>
      </c>
      <c r="F700" s="100" t="s">
        <v>994</v>
      </c>
      <c r="G700" s="101">
        <v>5.4</v>
      </c>
      <c r="H700" s="101">
        <v>39420</v>
      </c>
      <c r="I700" s="100" t="s">
        <v>1056</v>
      </c>
      <c r="J700" s="101">
        <v>0.43</v>
      </c>
      <c r="K700" s="101">
        <v>3187.91</v>
      </c>
      <c r="L700" s="100" t="s">
        <v>623</v>
      </c>
      <c r="M700" s="100">
        <v>36183.18</v>
      </c>
      <c r="N700" s="121">
        <v>9.9900000000000003E-2</v>
      </c>
    </row>
    <row r="701" spans="3:14" x14ac:dyDescent="0.25">
      <c r="C701" s="99">
        <v>584</v>
      </c>
      <c r="D701" s="100" t="s">
        <v>993</v>
      </c>
      <c r="E701" s="100">
        <v>70</v>
      </c>
      <c r="F701" s="100" t="s">
        <v>997</v>
      </c>
      <c r="G701" s="101">
        <v>5.9</v>
      </c>
      <c r="H701" s="101">
        <v>41300</v>
      </c>
      <c r="I701" s="100" t="s">
        <v>1056</v>
      </c>
      <c r="J701" s="101">
        <v>0.36</v>
      </c>
      <c r="K701" s="101">
        <v>2566.9</v>
      </c>
      <c r="L701" s="100" t="s">
        <v>623</v>
      </c>
      <c r="M701" s="100">
        <v>38686.199999999997</v>
      </c>
      <c r="N701" s="121">
        <v>0.1022</v>
      </c>
    </row>
    <row r="702" spans="3:14" x14ac:dyDescent="0.25">
      <c r="C702" s="99">
        <v>585</v>
      </c>
      <c r="D702" s="100" t="s">
        <v>996</v>
      </c>
      <c r="E702" s="100">
        <v>51</v>
      </c>
      <c r="F702" s="100" t="s">
        <v>998</v>
      </c>
      <c r="G702" s="101">
        <v>8.3000000000000007</v>
      </c>
      <c r="H702" s="101">
        <v>42330</v>
      </c>
      <c r="I702" s="100" t="s">
        <v>1056</v>
      </c>
      <c r="J702" s="101">
        <v>0.65</v>
      </c>
      <c r="K702" s="101">
        <v>3349.17</v>
      </c>
      <c r="L702" s="100" t="s">
        <v>623</v>
      </c>
      <c r="M702" s="100">
        <v>38946.660000000003</v>
      </c>
      <c r="N702" s="121">
        <v>9.8299999999999998E-2</v>
      </c>
    </row>
    <row r="703" spans="3:14" x14ac:dyDescent="0.25">
      <c r="C703" s="99">
        <v>586</v>
      </c>
      <c r="D703" s="100" t="s">
        <v>996</v>
      </c>
      <c r="E703" s="100">
        <v>55</v>
      </c>
      <c r="F703" s="100" t="s">
        <v>1001</v>
      </c>
      <c r="G703" s="101">
        <v>7.7</v>
      </c>
      <c r="H703" s="101">
        <v>42350</v>
      </c>
      <c r="I703" s="100" t="s">
        <v>1056</v>
      </c>
      <c r="J703" s="101">
        <v>0.59</v>
      </c>
      <c r="K703" s="101">
        <v>3281.85</v>
      </c>
      <c r="L703" s="100" t="s">
        <v>623</v>
      </c>
      <c r="M703" s="100">
        <v>39031.300000000003</v>
      </c>
      <c r="N703" s="121">
        <v>9.1800000000000007E-2</v>
      </c>
    </row>
    <row r="704" spans="3:14" x14ac:dyDescent="0.25">
      <c r="C704" s="99">
        <v>587</v>
      </c>
      <c r="D704" s="100" t="s">
        <v>993</v>
      </c>
      <c r="E704" s="100">
        <v>79</v>
      </c>
      <c r="F704" s="100" t="s">
        <v>1007</v>
      </c>
      <c r="G704" s="101">
        <v>5.4</v>
      </c>
      <c r="H704" s="101">
        <v>42660</v>
      </c>
      <c r="I704" s="100" t="s">
        <v>1056</v>
      </c>
      <c r="J704" s="101">
        <v>0.49</v>
      </c>
      <c r="K704" s="101">
        <v>3923.93</v>
      </c>
      <c r="L704" s="100" t="s">
        <v>623</v>
      </c>
      <c r="M704" s="100">
        <v>38683.14</v>
      </c>
      <c r="N704" s="121">
        <v>8.5800000000000001E-2</v>
      </c>
    </row>
    <row r="705" spans="3:14" x14ac:dyDescent="0.25">
      <c r="C705" s="99">
        <v>588</v>
      </c>
      <c r="D705" s="100" t="s">
        <v>943</v>
      </c>
      <c r="E705" s="100">
        <v>30</v>
      </c>
      <c r="F705" s="100" t="s">
        <v>1459</v>
      </c>
      <c r="G705" s="101">
        <v>14.95</v>
      </c>
      <c r="H705" s="101">
        <v>44850</v>
      </c>
      <c r="I705" s="100" t="s">
        <v>1056</v>
      </c>
      <c r="J705" s="101">
        <v>3.25</v>
      </c>
      <c r="K705" s="101">
        <v>9770.1</v>
      </c>
      <c r="L705" s="100" t="s">
        <v>623</v>
      </c>
      <c r="M705" s="100">
        <v>35059.800000000003</v>
      </c>
      <c r="N705" s="121">
        <v>7.2999999999999995E-2</v>
      </c>
    </row>
    <row r="706" spans="3:14" x14ac:dyDescent="0.25">
      <c r="C706" s="99">
        <v>589</v>
      </c>
      <c r="D706" s="100" t="s">
        <v>943</v>
      </c>
      <c r="E706" s="100">
        <v>29</v>
      </c>
      <c r="F706" s="100" t="s">
        <v>1460</v>
      </c>
      <c r="G706" s="101">
        <v>15.9</v>
      </c>
      <c r="H706" s="101">
        <v>46110</v>
      </c>
      <c r="I706" s="100" t="s">
        <v>1056</v>
      </c>
      <c r="J706" s="101">
        <v>8.15</v>
      </c>
      <c r="K706" s="101">
        <v>23654.43</v>
      </c>
      <c r="L706" s="100" t="s">
        <v>623</v>
      </c>
      <c r="M706" s="100">
        <v>22436.14</v>
      </c>
      <c r="N706" s="121">
        <v>4.8599999999999997E-2</v>
      </c>
    </row>
    <row r="707" spans="3:14" x14ac:dyDescent="0.25">
      <c r="C707" s="99">
        <v>590</v>
      </c>
      <c r="D707" s="100" t="s">
        <v>943</v>
      </c>
      <c r="E707" s="100">
        <v>28</v>
      </c>
      <c r="F707" s="100" t="s">
        <v>1012</v>
      </c>
      <c r="G707" s="101">
        <v>15.25</v>
      </c>
      <c r="H707" s="101">
        <v>42700</v>
      </c>
      <c r="I707" s="100" t="s">
        <v>1056</v>
      </c>
      <c r="J707" s="101">
        <v>7.15</v>
      </c>
      <c r="K707" s="101">
        <v>20038.759999999998</v>
      </c>
      <c r="L707" s="100" t="s">
        <v>623</v>
      </c>
      <c r="M707" s="100">
        <v>22642.48</v>
      </c>
      <c r="N707" s="121">
        <v>5.2299999999999999E-2</v>
      </c>
    </row>
    <row r="708" spans="3:14" x14ac:dyDescent="0.25">
      <c r="C708" s="99">
        <v>591</v>
      </c>
      <c r="D708" s="100" t="s">
        <v>996</v>
      </c>
      <c r="E708" s="100">
        <v>53</v>
      </c>
      <c r="F708" s="100" t="s">
        <v>1014</v>
      </c>
      <c r="G708" s="101">
        <v>8.15</v>
      </c>
      <c r="H708" s="101">
        <v>43195</v>
      </c>
      <c r="I708" s="100" t="s">
        <v>1056</v>
      </c>
      <c r="J708" s="101">
        <v>2.36</v>
      </c>
      <c r="K708" s="101">
        <v>12543.51</v>
      </c>
      <c r="L708" s="100" t="s">
        <v>623</v>
      </c>
      <c r="M708" s="100">
        <v>30615.98</v>
      </c>
      <c r="N708" s="121">
        <v>7.0599999999999996E-2</v>
      </c>
    </row>
    <row r="709" spans="3:14" x14ac:dyDescent="0.25">
      <c r="C709" s="99">
        <v>592</v>
      </c>
      <c r="D709" s="100" t="s">
        <v>996</v>
      </c>
      <c r="E709" s="100">
        <v>54</v>
      </c>
      <c r="F709" s="100" t="s">
        <v>1010</v>
      </c>
      <c r="G709" s="101">
        <v>9</v>
      </c>
      <c r="H709" s="101">
        <v>48600</v>
      </c>
      <c r="I709" s="100" t="s">
        <v>1056</v>
      </c>
      <c r="J709" s="101">
        <v>7</v>
      </c>
      <c r="K709" s="101">
        <v>37836.18</v>
      </c>
      <c r="L709" s="100" t="s">
        <v>623</v>
      </c>
      <c r="M709" s="100">
        <v>10727.64</v>
      </c>
      <c r="N709" s="121">
        <v>2.2800000000000001E-2</v>
      </c>
    </row>
    <row r="710" spans="3:14" x14ac:dyDescent="0.25">
      <c r="C710" s="99">
        <v>593</v>
      </c>
      <c r="D710" s="100" t="s">
        <v>996</v>
      </c>
      <c r="E710" s="100">
        <v>57</v>
      </c>
      <c r="F710" s="100" t="s">
        <v>1011</v>
      </c>
      <c r="G710" s="101">
        <v>8.5</v>
      </c>
      <c r="H710" s="101">
        <v>48450</v>
      </c>
      <c r="I710" s="100" t="s">
        <v>1056</v>
      </c>
      <c r="J710" s="101">
        <v>6.65</v>
      </c>
      <c r="K710" s="101">
        <v>37943.19</v>
      </c>
      <c r="L710" s="100" t="s">
        <v>623</v>
      </c>
      <c r="M710" s="100">
        <v>10468.620000000001</v>
      </c>
      <c r="N710" s="121">
        <v>2.12E-2</v>
      </c>
    </row>
    <row r="711" spans="3:14" x14ac:dyDescent="0.25">
      <c r="C711" s="99">
        <v>594</v>
      </c>
      <c r="D711" s="100" t="s">
        <v>996</v>
      </c>
      <c r="E711" s="100">
        <v>59</v>
      </c>
      <c r="F711" s="100" t="s">
        <v>1029</v>
      </c>
      <c r="G711" s="101">
        <v>8.35</v>
      </c>
      <c r="H711" s="101">
        <v>49265</v>
      </c>
      <c r="I711" s="100" t="s">
        <v>1056</v>
      </c>
      <c r="J711" s="101">
        <v>7.35</v>
      </c>
      <c r="K711" s="101">
        <v>43404.53</v>
      </c>
      <c r="L711" s="100" t="s">
        <v>623</v>
      </c>
      <c r="M711" s="100">
        <v>5820.94</v>
      </c>
      <c r="N711" s="121">
        <v>1.11E-2</v>
      </c>
    </row>
    <row r="712" spans="3:14" x14ac:dyDescent="0.25">
      <c r="C712" s="99">
        <v>595</v>
      </c>
      <c r="D712" s="100" t="s">
        <v>996</v>
      </c>
      <c r="E712" s="100">
        <v>55</v>
      </c>
      <c r="F712" s="100" t="s">
        <v>1013</v>
      </c>
      <c r="G712" s="101">
        <v>8.9</v>
      </c>
      <c r="H712" s="101">
        <v>48950</v>
      </c>
      <c r="I712" s="100" t="s">
        <v>1056</v>
      </c>
      <c r="J712" s="101">
        <v>7.7</v>
      </c>
      <c r="K712" s="101">
        <v>42386.85</v>
      </c>
      <c r="L712" s="100" t="s">
        <v>623</v>
      </c>
      <c r="M712" s="100">
        <v>6526.3</v>
      </c>
      <c r="N712" s="121">
        <v>1.3299999999999999E-2</v>
      </c>
    </row>
    <row r="713" spans="3:14" x14ac:dyDescent="0.25">
      <c r="C713" s="99">
        <v>596</v>
      </c>
      <c r="D713" s="100" t="s">
        <v>996</v>
      </c>
      <c r="E713" s="100">
        <v>54</v>
      </c>
      <c r="F713" s="100" t="s">
        <v>1461</v>
      </c>
      <c r="G713" s="101">
        <v>8.75</v>
      </c>
      <c r="H713" s="101">
        <v>47250</v>
      </c>
      <c r="I713" s="100" t="s">
        <v>1056</v>
      </c>
      <c r="J713" s="101">
        <v>8.1</v>
      </c>
      <c r="K713" s="101">
        <v>43776.18</v>
      </c>
      <c r="L713" s="100" t="s">
        <v>623</v>
      </c>
      <c r="M713" s="100">
        <v>3437.64</v>
      </c>
      <c r="N713" s="121">
        <v>7.1000000000000004E-3</v>
      </c>
    </row>
    <row r="714" spans="3:14" x14ac:dyDescent="0.25">
      <c r="C714" s="99">
        <v>597</v>
      </c>
      <c r="D714" s="100" t="s">
        <v>943</v>
      </c>
      <c r="E714" s="100">
        <v>30</v>
      </c>
      <c r="F714" s="100" t="s">
        <v>1030</v>
      </c>
      <c r="G714" s="101">
        <v>15.65</v>
      </c>
      <c r="H714" s="101">
        <v>46950</v>
      </c>
      <c r="I714" s="100" t="s">
        <v>1056</v>
      </c>
      <c r="J714" s="101">
        <v>18.2</v>
      </c>
      <c r="K714" s="101">
        <v>54620.1</v>
      </c>
      <c r="L714" s="100" t="s">
        <v>623</v>
      </c>
      <c r="M714" s="100">
        <v>-7690.2</v>
      </c>
      <c r="N714" s="121">
        <v>-1.5100000000000001E-2</v>
      </c>
    </row>
    <row r="715" spans="3:14" x14ac:dyDescent="0.25">
      <c r="C715" s="99">
        <v>598</v>
      </c>
      <c r="D715" s="100" t="s">
        <v>943</v>
      </c>
      <c r="E715" s="100">
        <v>30</v>
      </c>
      <c r="F715" s="100" t="s">
        <v>1031</v>
      </c>
      <c r="G715" s="101">
        <v>15.1</v>
      </c>
      <c r="H715" s="101">
        <v>45300</v>
      </c>
      <c r="I715" s="100" t="s">
        <v>1056</v>
      </c>
      <c r="J715" s="101">
        <v>16.55</v>
      </c>
      <c r="K715" s="101">
        <v>49670.1</v>
      </c>
      <c r="L715" s="100" t="s">
        <v>623</v>
      </c>
      <c r="M715" s="100">
        <v>-4390.2</v>
      </c>
      <c r="N715" s="121">
        <v>-8.8999999999999999E-3</v>
      </c>
    </row>
    <row r="716" spans="3:14" x14ac:dyDescent="0.25">
      <c r="C716" s="99">
        <v>599</v>
      </c>
      <c r="D716" s="100" t="s">
        <v>524</v>
      </c>
      <c r="E716" s="100">
        <v>37</v>
      </c>
      <c r="F716" s="100" t="s">
        <v>1063</v>
      </c>
      <c r="G716" s="101">
        <v>12.9</v>
      </c>
      <c r="H716" s="101">
        <v>47730</v>
      </c>
      <c r="I716" s="100" t="s">
        <v>1064</v>
      </c>
      <c r="J716" s="101">
        <v>20.8</v>
      </c>
      <c r="K716" s="101">
        <v>76984.789999999994</v>
      </c>
      <c r="L716" s="100" t="s">
        <v>623</v>
      </c>
      <c r="M716" s="100">
        <v>-29279.58</v>
      </c>
      <c r="N716" s="121">
        <v>-6.4299999999999996E-2</v>
      </c>
    </row>
    <row r="717" spans="3:14" x14ac:dyDescent="0.25">
      <c r="C717" s="99">
        <v>600</v>
      </c>
      <c r="D717" s="100" t="s">
        <v>993</v>
      </c>
      <c r="E717" s="100">
        <v>34</v>
      </c>
      <c r="F717" s="100" t="s">
        <v>1065</v>
      </c>
      <c r="G717" s="101">
        <v>12.8</v>
      </c>
      <c r="H717" s="101">
        <v>43520</v>
      </c>
      <c r="I717" s="100" t="s">
        <v>1066</v>
      </c>
      <c r="J717" s="101">
        <v>22.3</v>
      </c>
      <c r="K717" s="101">
        <v>75842.78</v>
      </c>
      <c r="L717" s="100" t="s">
        <v>623</v>
      </c>
      <c r="M717" s="100">
        <v>-32345.56</v>
      </c>
      <c r="N717" s="121">
        <v>-9.7900000000000001E-2</v>
      </c>
    </row>
    <row r="718" spans="3:14" x14ac:dyDescent="0.25">
      <c r="C718" s="99">
        <v>601</v>
      </c>
      <c r="D718" s="100" t="s">
        <v>1100</v>
      </c>
      <c r="E718" s="100">
        <v>4</v>
      </c>
      <c r="F718" s="100" t="s">
        <v>1101</v>
      </c>
      <c r="G718" s="101">
        <v>97.2</v>
      </c>
      <c r="H718" s="101">
        <v>38880</v>
      </c>
      <c r="I718" s="100" t="s">
        <v>1130</v>
      </c>
      <c r="J718" s="101">
        <v>82.3</v>
      </c>
      <c r="K718" s="101">
        <v>32922.68</v>
      </c>
      <c r="L718" s="100" t="s">
        <v>623</v>
      </c>
      <c r="M718" s="100">
        <v>5954.64</v>
      </c>
      <c r="N718" s="121">
        <v>1.6500000000000001E-2</v>
      </c>
    </row>
    <row r="719" spans="3:14" ht="15.75" thickBot="1" x14ac:dyDescent="0.3">
      <c r="C719" s="104">
        <v>602</v>
      </c>
      <c r="D719" s="105" t="s">
        <v>1100</v>
      </c>
      <c r="E719" s="105">
        <v>4</v>
      </c>
      <c r="F719" s="105" t="s">
        <v>1103</v>
      </c>
      <c r="G719" s="106">
        <v>98.2</v>
      </c>
      <c r="H719" s="106">
        <v>39280</v>
      </c>
      <c r="I719" s="105" t="s">
        <v>1130</v>
      </c>
      <c r="J719" s="106">
        <v>98.4</v>
      </c>
      <c r="K719" s="106">
        <v>39362.68</v>
      </c>
      <c r="L719" s="105" t="s">
        <v>623</v>
      </c>
      <c r="M719" s="105">
        <v>-85.36</v>
      </c>
      <c r="N719" s="122">
        <v>-2.0000000000000001E-4</v>
      </c>
    </row>
    <row r="720" spans="3:14" x14ac:dyDescent="0.25">
      <c r="M720">
        <f>SUM(M118:M719)</f>
        <v>5927679.450000003</v>
      </c>
    </row>
    <row r="721" spans="2:2" x14ac:dyDescent="0.25">
      <c r="B721" t="s">
        <v>149</v>
      </c>
    </row>
  </sheetData>
  <sortState xmlns:xlrd2="http://schemas.microsoft.com/office/spreadsheetml/2017/richdata2" ref="C118:C719">
    <sortCondition ref="C118:C7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374A-D365-4A28-8AD0-E8592EDB9E67}">
  <dimension ref="B1:N700"/>
  <sheetViews>
    <sheetView topLeftCell="A597" workbookViewId="0">
      <selection activeCell="M629" sqref="M629"/>
    </sheetView>
  </sheetViews>
  <sheetFormatPr defaultRowHeight="15" x14ac:dyDescent="0.25"/>
  <cols>
    <col min="3" max="3" width="30" customWidth="1"/>
    <col min="4" max="5" width="14" customWidth="1"/>
    <col min="6" max="6" width="15.85546875" customWidth="1"/>
    <col min="8" max="8" width="14.28515625" customWidth="1"/>
    <col min="11" max="11" width="14.28515625" customWidth="1"/>
    <col min="13" max="13" width="16.7109375" customWidth="1"/>
    <col min="14" max="14" width="13.7109375" customWidth="1"/>
  </cols>
  <sheetData>
    <row r="1" spans="2:14" x14ac:dyDescent="0.25">
      <c r="N1" s="83">
        <v>6273918.9299999997</v>
      </c>
    </row>
    <row r="2" spans="2:14" x14ac:dyDescent="0.25">
      <c r="B2" t="s">
        <v>1202</v>
      </c>
    </row>
    <row r="3" spans="2:14" x14ac:dyDescent="0.25">
      <c r="B3" t="s">
        <v>1203</v>
      </c>
    </row>
    <row r="4" spans="2:14" x14ac:dyDescent="0.25">
      <c r="B4" t="s">
        <v>1204</v>
      </c>
    </row>
    <row r="6" spans="2:14" x14ac:dyDescent="0.25">
      <c r="B6" t="s">
        <v>344</v>
      </c>
    </row>
    <row r="7" spans="2:14" x14ac:dyDescent="0.25">
      <c r="B7" t="s">
        <v>345</v>
      </c>
    </row>
    <row r="10" spans="2:14" x14ac:dyDescent="0.25">
      <c r="C10" t="s">
        <v>1205</v>
      </c>
      <c r="D10" t="s">
        <v>1206</v>
      </c>
      <c r="E10" t="s">
        <v>1207</v>
      </c>
      <c r="F10" t="s">
        <v>1208</v>
      </c>
    </row>
    <row r="11" spans="2:14" x14ac:dyDescent="0.25">
      <c r="C11" t="s">
        <v>348</v>
      </c>
      <c r="D11" t="s">
        <v>325</v>
      </c>
      <c r="E11" t="s">
        <v>18</v>
      </c>
      <c r="F11" t="s">
        <v>241</v>
      </c>
    </row>
    <row r="12" spans="2:14" x14ac:dyDescent="0.25">
      <c r="C12" t="s">
        <v>1209</v>
      </c>
      <c r="D12" s="84">
        <v>6.2739000000000003</v>
      </c>
      <c r="E12" s="84">
        <v>1.2844</v>
      </c>
      <c r="F12" t="s">
        <v>1210</v>
      </c>
    </row>
    <row r="13" spans="2:14" x14ac:dyDescent="0.25">
      <c r="C13" t="s">
        <v>349</v>
      </c>
      <c r="D13" s="84">
        <v>0.40550000000000003</v>
      </c>
      <c r="E13" s="84">
        <v>0.15229999999999999</v>
      </c>
      <c r="F13" t="s">
        <v>1211</v>
      </c>
    </row>
    <row r="16" spans="2:14" x14ac:dyDescent="0.25">
      <c r="B16" t="s">
        <v>233</v>
      </c>
    </row>
    <row r="17" spans="3:7" x14ac:dyDescent="0.25">
      <c r="C17" t="s">
        <v>235</v>
      </c>
      <c r="D17" t="s">
        <v>236</v>
      </c>
      <c r="E17" t="s">
        <v>237</v>
      </c>
      <c r="F17" t="s">
        <v>238</v>
      </c>
      <c r="G17" t="s">
        <v>239</v>
      </c>
    </row>
    <row r="18" spans="3:7" x14ac:dyDescent="0.25">
      <c r="C18" t="s">
        <v>240</v>
      </c>
      <c r="D18" t="s">
        <v>241</v>
      </c>
      <c r="E18" t="s">
        <v>39</v>
      </c>
      <c r="F18" t="s">
        <v>242</v>
      </c>
      <c r="G18" t="s">
        <v>243</v>
      </c>
    </row>
    <row r="19" spans="3:7" x14ac:dyDescent="0.25">
      <c r="C19" t="s">
        <v>244</v>
      </c>
      <c r="D19" s="83">
        <v>1000000</v>
      </c>
      <c r="E19" s="83">
        <v>0</v>
      </c>
      <c r="F19" s="84">
        <v>0</v>
      </c>
      <c r="G19" s="84">
        <v>-9.7000000000000003E-3</v>
      </c>
    </row>
    <row r="20" spans="3:7" x14ac:dyDescent="0.25">
      <c r="C20" t="s">
        <v>245</v>
      </c>
      <c r="D20" s="83">
        <v>1000000</v>
      </c>
      <c r="E20" s="83">
        <v>0</v>
      </c>
      <c r="F20" s="84">
        <v>0</v>
      </c>
      <c r="G20" s="84">
        <v>-7.9200000000000007E-2</v>
      </c>
    </row>
    <row r="21" spans="3:7" x14ac:dyDescent="0.25">
      <c r="C21" t="s">
        <v>246</v>
      </c>
      <c r="D21" s="83">
        <v>993922</v>
      </c>
      <c r="E21" s="83">
        <v>-6078</v>
      </c>
      <c r="F21" s="84">
        <v>-6.1000000000000004E-3</v>
      </c>
      <c r="G21" s="84">
        <v>-0.1249</v>
      </c>
    </row>
    <row r="22" spans="3:7" x14ac:dyDescent="0.25">
      <c r="C22" t="s">
        <v>247</v>
      </c>
      <c r="D22" s="83">
        <v>1059446.45</v>
      </c>
      <c r="E22" s="83">
        <v>65524.45</v>
      </c>
      <c r="F22" s="84">
        <v>6.59E-2</v>
      </c>
      <c r="G22" s="84">
        <v>0.127</v>
      </c>
    </row>
    <row r="23" spans="3:7" x14ac:dyDescent="0.25">
      <c r="C23" t="s">
        <v>248</v>
      </c>
      <c r="D23" s="83">
        <v>1138796.8</v>
      </c>
      <c r="E23" s="83">
        <v>79350.350000000006</v>
      </c>
      <c r="F23" s="84">
        <v>7.4899999999999994E-2</v>
      </c>
      <c r="G23" s="84">
        <v>4.7600000000000003E-2</v>
      </c>
    </row>
    <row r="24" spans="3:7" x14ac:dyDescent="0.25">
      <c r="C24" t="s">
        <v>249</v>
      </c>
      <c r="D24" s="83">
        <v>1233705.1399999999</v>
      </c>
      <c r="E24" s="83">
        <v>94908.34</v>
      </c>
      <c r="F24" s="84">
        <v>8.3299999999999999E-2</v>
      </c>
      <c r="G24" s="84">
        <v>1.77E-2</v>
      </c>
    </row>
    <row r="25" spans="3:7" x14ac:dyDescent="0.25">
      <c r="C25" t="s">
        <v>250</v>
      </c>
      <c r="D25" s="83">
        <v>1445289.99</v>
      </c>
      <c r="E25" s="83">
        <v>211584.85</v>
      </c>
      <c r="F25" s="84">
        <v>0.17150000000000001</v>
      </c>
      <c r="G25" s="84">
        <v>5.8900000000000001E-2</v>
      </c>
    </row>
    <row r="26" spans="3:7" x14ac:dyDescent="0.25">
      <c r="C26" t="s">
        <v>251</v>
      </c>
      <c r="D26" s="83">
        <v>1522138.88</v>
      </c>
      <c r="E26" s="83">
        <v>76848.89</v>
      </c>
      <c r="F26" s="84">
        <v>5.3199999999999997E-2</v>
      </c>
      <c r="G26" s="84">
        <v>6.9800000000000001E-2</v>
      </c>
    </row>
    <row r="27" spans="3:7" x14ac:dyDescent="0.25">
      <c r="C27" t="s">
        <v>252</v>
      </c>
      <c r="D27" s="83">
        <v>1526305.01</v>
      </c>
      <c r="E27" s="83">
        <v>4166.13</v>
      </c>
      <c r="F27" s="84">
        <v>2.7000000000000001E-3</v>
      </c>
      <c r="G27" s="84">
        <v>-3.7400000000000003E-2</v>
      </c>
    </row>
    <row r="28" spans="3:7" x14ac:dyDescent="0.25">
      <c r="C28" t="s">
        <v>253</v>
      </c>
      <c r="D28" s="83">
        <v>1473113.34</v>
      </c>
      <c r="E28" s="83">
        <v>-53191.67</v>
      </c>
      <c r="F28" s="84">
        <v>-3.4799999999999998E-2</v>
      </c>
      <c r="G28" s="84">
        <v>-2.4899999999999999E-2</v>
      </c>
    </row>
    <row r="29" spans="3:7" x14ac:dyDescent="0.25">
      <c r="C29" t="s">
        <v>254</v>
      </c>
      <c r="D29" s="83">
        <v>1792358.27</v>
      </c>
      <c r="E29" s="83">
        <v>319244.93</v>
      </c>
      <c r="F29" s="84">
        <v>0.2167</v>
      </c>
      <c r="G29" s="84">
        <v>0.10879999999999999</v>
      </c>
    </row>
    <row r="30" spans="3:7" x14ac:dyDescent="0.25">
      <c r="C30" t="s">
        <v>255</v>
      </c>
      <c r="D30" s="83">
        <v>1966582.34</v>
      </c>
      <c r="E30" s="83">
        <v>174224.07</v>
      </c>
      <c r="F30" s="84">
        <v>9.7199999999999995E-2</v>
      </c>
      <c r="G30" s="84">
        <v>3.6999999999999998E-2</v>
      </c>
    </row>
    <row r="31" spans="3:7" x14ac:dyDescent="0.25">
      <c r="C31" t="s">
        <v>256</v>
      </c>
      <c r="D31" s="83">
        <v>1919623.92</v>
      </c>
      <c r="E31" s="83">
        <v>-46958.42</v>
      </c>
      <c r="F31" s="84">
        <v>-2.3900000000000001E-2</v>
      </c>
      <c r="G31" s="84">
        <v>-1.0200000000000001E-2</v>
      </c>
    </row>
    <row r="32" spans="3:7" x14ac:dyDescent="0.25">
      <c r="C32" t="s">
        <v>257</v>
      </c>
      <c r="D32" s="83">
        <v>2208080.48</v>
      </c>
      <c r="E32" s="83">
        <v>288456.56</v>
      </c>
      <c r="F32" s="84">
        <v>0.15029999999999999</v>
      </c>
      <c r="G32" s="84">
        <v>2.7799999999999998E-2</v>
      </c>
    </row>
    <row r="33" spans="3:7" x14ac:dyDescent="0.25">
      <c r="C33" t="s">
        <v>258</v>
      </c>
      <c r="D33" s="83">
        <v>2463520.37</v>
      </c>
      <c r="E33" s="83">
        <v>255439.89</v>
      </c>
      <c r="F33" s="84">
        <v>0.1157</v>
      </c>
      <c r="G33" s="84">
        <v>4.5400000000000003E-2</v>
      </c>
    </row>
    <row r="34" spans="3:7" x14ac:dyDescent="0.25">
      <c r="C34" t="s">
        <v>259</v>
      </c>
      <c r="D34" s="83">
        <v>2514686.69</v>
      </c>
      <c r="E34" s="83">
        <v>51166.32</v>
      </c>
      <c r="F34" s="84">
        <v>2.0799999999999999E-2</v>
      </c>
      <c r="G34" s="84">
        <v>5.2900000000000003E-2</v>
      </c>
    </row>
    <row r="35" spans="3:7" x14ac:dyDescent="0.25">
      <c r="C35" t="s">
        <v>260</v>
      </c>
      <c r="D35" s="83">
        <v>2224797.13</v>
      </c>
      <c r="E35" s="83">
        <v>-289889.56</v>
      </c>
      <c r="F35" s="84">
        <v>-0.1153</v>
      </c>
      <c r="G35" s="84">
        <v>6.6E-3</v>
      </c>
    </row>
    <row r="36" spans="3:7" x14ac:dyDescent="0.25">
      <c r="C36" t="s">
        <v>261</v>
      </c>
      <c r="D36" s="83">
        <v>2458931.66</v>
      </c>
      <c r="E36" s="83">
        <v>234134.53</v>
      </c>
      <c r="F36" s="84">
        <v>0.1052</v>
      </c>
      <c r="G36" s="84">
        <v>2.24E-2</v>
      </c>
    </row>
    <row r="37" spans="3:7" x14ac:dyDescent="0.25">
      <c r="C37" t="s">
        <v>262</v>
      </c>
      <c r="D37" s="83">
        <v>2425712.25</v>
      </c>
      <c r="E37" s="83">
        <v>-33219.410000000003</v>
      </c>
      <c r="F37" s="84">
        <v>-1.35E-2</v>
      </c>
      <c r="G37" s="84">
        <v>2.4400000000000002E-2</v>
      </c>
    </row>
    <row r="38" spans="3:7" x14ac:dyDescent="0.25">
      <c r="C38" t="s">
        <v>263</v>
      </c>
      <c r="D38" s="83">
        <v>2490106.3199999998</v>
      </c>
      <c r="E38" s="83">
        <v>64394.07</v>
      </c>
      <c r="F38" s="84">
        <v>2.6499999999999999E-2</v>
      </c>
      <c r="G38" s="84">
        <v>2.98E-2</v>
      </c>
    </row>
    <row r="39" spans="3:7" x14ac:dyDescent="0.25">
      <c r="C39" t="s">
        <v>264</v>
      </c>
      <c r="D39" s="83">
        <v>2405575.13</v>
      </c>
      <c r="E39" s="83">
        <v>-84531.19</v>
      </c>
      <c r="F39" s="84">
        <v>-3.39E-2</v>
      </c>
      <c r="G39" s="84">
        <v>-4.6600000000000003E-2</v>
      </c>
    </row>
    <row r="40" spans="3:7" x14ac:dyDescent="0.25">
      <c r="C40" t="s">
        <v>265</v>
      </c>
      <c r="D40" s="83">
        <v>3024327.74</v>
      </c>
      <c r="E40" s="83">
        <v>618752.61</v>
      </c>
      <c r="F40" s="84">
        <v>0.25719999999999998</v>
      </c>
      <c r="G40" s="84">
        <v>7.0199999999999999E-2</v>
      </c>
    </row>
    <row r="41" spans="3:7" x14ac:dyDescent="0.25">
      <c r="C41" t="s">
        <v>266</v>
      </c>
      <c r="D41" s="83">
        <v>3036427.88</v>
      </c>
      <c r="E41" s="83">
        <v>12100.14</v>
      </c>
      <c r="F41" s="84">
        <v>4.0000000000000001E-3</v>
      </c>
      <c r="G41" s="84">
        <v>-8.0000000000000002E-3</v>
      </c>
    </row>
    <row r="42" spans="3:7" x14ac:dyDescent="0.25">
      <c r="C42" t="s">
        <v>267</v>
      </c>
      <c r="D42" s="83">
        <v>3365634.96</v>
      </c>
      <c r="E42" s="83">
        <v>329207.08</v>
      </c>
      <c r="F42" s="84">
        <v>0.1084</v>
      </c>
      <c r="G42" s="84">
        <v>4.6199999999999998E-2</v>
      </c>
    </row>
    <row r="43" spans="3:7" x14ac:dyDescent="0.25">
      <c r="C43" t="s">
        <v>268</v>
      </c>
      <c r="D43" s="83">
        <v>2782032.45</v>
      </c>
      <c r="E43" s="83">
        <v>-583602.51</v>
      </c>
      <c r="F43" s="84">
        <v>-0.1734</v>
      </c>
      <c r="G43" s="84">
        <v>-5.2699999999999997E-2</v>
      </c>
    </row>
    <row r="44" spans="3:7" x14ac:dyDescent="0.25">
      <c r="C44" t="s">
        <v>269</v>
      </c>
      <c r="D44" s="83">
        <v>2693387.06</v>
      </c>
      <c r="E44" s="83">
        <v>-88645.39</v>
      </c>
      <c r="F44" s="84">
        <v>-3.1899999999999998E-2</v>
      </c>
      <c r="G44" s="84">
        <v>-2.9499999999999998E-2</v>
      </c>
    </row>
    <row r="45" spans="3:7" x14ac:dyDescent="0.25">
      <c r="C45" t="s">
        <v>270</v>
      </c>
      <c r="D45" s="83">
        <v>2621031.09</v>
      </c>
      <c r="E45" s="83">
        <v>-72355.97</v>
      </c>
      <c r="F45" s="84">
        <v>-2.69E-2</v>
      </c>
      <c r="G45" s="84">
        <v>3.7600000000000001E-2</v>
      </c>
    </row>
    <row r="46" spans="3:7" x14ac:dyDescent="0.25">
      <c r="C46" t="s">
        <v>271</v>
      </c>
      <c r="D46" s="83">
        <v>2389526.79</v>
      </c>
      <c r="E46" s="83">
        <v>-231504.3</v>
      </c>
      <c r="F46" s="84">
        <v>-8.8300000000000003E-2</v>
      </c>
      <c r="G46" s="84">
        <v>-8.7800000000000003E-2</v>
      </c>
    </row>
    <row r="47" spans="3:7" x14ac:dyDescent="0.25">
      <c r="C47" t="s">
        <v>272</v>
      </c>
      <c r="D47" s="83">
        <v>2602213.2000000002</v>
      </c>
      <c r="E47" s="83">
        <v>212686.41</v>
      </c>
      <c r="F47" s="84">
        <v>8.8999999999999996E-2</v>
      </c>
      <c r="G47" s="84">
        <v>2.3E-3</v>
      </c>
    </row>
    <row r="48" spans="3:7" x14ac:dyDescent="0.25">
      <c r="C48" t="s">
        <v>273</v>
      </c>
      <c r="D48" s="83">
        <v>2193747.7999999998</v>
      </c>
      <c r="E48" s="83">
        <v>-408465.4</v>
      </c>
      <c r="F48" s="84">
        <v>-0.157</v>
      </c>
      <c r="G48" s="84">
        <v>-8.2500000000000004E-2</v>
      </c>
    </row>
    <row r="49" spans="3:7" x14ac:dyDescent="0.25">
      <c r="C49" t="s">
        <v>274</v>
      </c>
      <c r="D49" s="83">
        <v>2643830.1800000002</v>
      </c>
      <c r="E49" s="83">
        <v>450082.38</v>
      </c>
      <c r="F49" s="84">
        <v>0.20519999999999999</v>
      </c>
      <c r="G49" s="84">
        <v>9.2100000000000001E-2</v>
      </c>
    </row>
    <row r="50" spans="3:7" x14ac:dyDescent="0.25">
      <c r="C50" t="s">
        <v>275</v>
      </c>
      <c r="D50" s="83">
        <v>2928698.41</v>
      </c>
      <c r="E50" s="83">
        <v>284868.23</v>
      </c>
      <c r="F50" s="84">
        <v>0.1077</v>
      </c>
      <c r="G50" s="84">
        <v>-4.0800000000000003E-2</v>
      </c>
    </row>
    <row r="51" spans="3:7" x14ac:dyDescent="0.25">
      <c r="C51" t="s">
        <v>276</v>
      </c>
      <c r="D51" s="83">
        <v>2857927.54</v>
      </c>
      <c r="E51" s="83">
        <v>-70770.87</v>
      </c>
      <c r="F51" s="84">
        <v>-2.4199999999999999E-2</v>
      </c>
      <c r="G51" s="84">
        <v>-9.2399999999999996E-2</v>
      </c>
    </row>
    <row r="52" spans="3:7" x14ac:dyDescent="0.25">
      <c r="C52" t="s">
        <v>277</v>
      </c>
      <c r="D52" s="83">
        <v>3245854.4</v>
      </c>
      <c r="E52" s="83">
        <v>387926.86</v>
      </c>
      <c r="F52" s="84">
        <v>0.13569999999999999</v>
      </c>
      <c r="G52" s="84">
        <v>8.1299999999999997E-2</v>
      </c>
    </row>
    <row r="53" spans="3:7" x14ac:dyDescent="0.25">
      <c r="C53" t="s">
        <v>278</v>
      </c>
      <c r="D53" s="83">
        <v>3770649.69</v>
      </c>
      <c r="E53" s="83">
        <v>524795.29</v>
      </c>
      <c r="F53" s="84">
        <v>0.16170000000000001</v>
      </c>
      <c r="G53" s="84">
        <v>5.5599999999999997E-2</v>
      </c>
    </row>
    <row r="54" spans="3:7" x14ac:dyDescent="0.25">
      <c r="C54" t="s">
        <v>279</v>
      </c>
      <c r="D54" s="83">
        <v>3421722.39</v>
      </c>
      <c r="E54" s="83">
        <v>-348927.3</v>
      </c>
      <c r="F54" s="84">
        <v>-9.2499999999999999E-2</v>
      </c>
      <c r="G54" s="84">
        <v>-5.7599999999999998E-2</v>
      </c>
    </row>
    <row r="55" spans="3:7" x14ac:dyDescent="0.25">
      <c r="C55" t="s">
        <v>280</v>
      </c>
      <c r="D55" s="83">
        <v>4018351.34</v>
      </c>
      <c r="E55" s="83">
        <v>596628.94999999995</v>
      </c>
      <c r="F55" s="84">
        <v>0.1744</v>
      </c>
      <c r="G55" s="84">
        <v>6.2899999999999998E-2</v>
      </c>
    </row>
    <row r="56" spans="3:7" x14ac:dyDescent="0.25">
      <c r="C56" t="s">
        <v>281</v>
      </c>
      <c r="D56" s="83">
        <v>3740364.41</v>
      </c>
      <c r="E56" s="83">
        <v>-277986.93</v>
      </c>
      <c r="F56" s="84">
        <v>-6.9199999999999998E-2</v>
      </c>
      <c r="G56" s="84">
        <v>-2.5100000000000001E-2</v>
      </c>
    </row>
    <row r="57" spans="3:7" x14ac:dyDescent="0.25">
      <c r="C57" t="s">
        <v>282</v>
      </c>
      <c r="D57" s="83">
        <v>3893908.41</v>
      </c>
      <c r="E57" s="83">
        <v>153544</v>
      </c>
      <c r="F57" s="84">
        <v>4.1099999999999998E-2</v>
      </c>
      <c r="G57" s="84">
        <v>3.7100000000000001E-2</v>
      </c>
    </row>
    <row r="58" spans="3:7" x14ac:dyDescent="0.25">
      <c r="C58" t="s">
        <v>283</v>
      </c>
      <c r="D58" s="83">
        <v>3858939.1</v>
      </c>
      <c r="E58" s="83">
        <v>-34969.31</v>
      </c>
      <c r="F58" s="84">
        <v>-8.9999999999999993E-3</v>
      </c>
      <c r="G58" s="84">
        <v>1.6E-2</v>
      </c>
    </row>
    <row r="59" spans="3:7" x14ac:dyDescent="0.25">
      <c r="C59" t="s">
        <v>284</v>
      </c>
      <c r="D59" s="83">
        <v>4076990.84</v>
      </c>
      <c r="E59" s="83">
        <v>218051.74</v>
      </c>
      <c r="F59" s="84">
        <v>5.6500000000000002E-2</v>
      </c>
      <c r="G59" s="84">
        <v>4.5999999999999999E-3</v>
      </c>
    </row>
    <row r="60" spans="3:7" x14ac:dyDescent="0.25">
      <c r="C60" t="s">
        <v>285</v>
      </c>
      <c r="D60" s="83">
        <v>4587799.1500000004</v>
      </c>
      <c r="E60" s="83">
        <v>510808.31</v>
      </c>
      <c r="F60" s="84">
        <v>0.12529999999999999</v>
      </c>
      <c r="G60" s="84">
        <v>6.4799999999999996E-2</v>
      </c>
    </row>
    <row r="61" spans="3:7" x14ac:dyDescent="0.25">
      <c r="C61" t="s">
        <v>286</v>
      </c>
      <c r="D61" s="83">
        <v>4717247.16</v>
      </c>
      <c r="E61" s="83">
        <v>129448.01</v>
      </c>
      <c r="F61" s="84">
        <v>2.8199999999999999E-2</v>
      </c>
      <c r="G61" s="84">
        <v>3.27E-2</v>
      </c>
    </row>
    <row r="62" spans="3:7" x14ac:dyDescent="0.25">
      <c r="C62" t="s">
        <v>287</v>
      </c>
      <c r="D62" s="83">
        <v>4711655.96</v>
      </c>
      <c r="E62" s="83">
        <v>-5591.2</v>
      </c>
      <c r="F62" s="84">
        <v>-1.1999999999999999E-3</v>
      </c>
      <c r="G62" s="84">
        <v>-1.6299999999999999E-2</v>
      </c>
    </row>
    <row r="63" spans="3:7" x14ac:dyDescent="0.25">
      <c r="C63" t="s">
        <v>288</v>
      </c>
      <c r="D63" s="83">
        <v>4527893.2699999996</v>
      </c>
      <c r="E63" s="83">
        <v>-183762.69</v>
      </c>
      <c r="F63" s="84">
        <v>-3.9E-2</v>
      </c>
      <c r="G63" s="84">
        <v>-4.7399999999999998E-2</v>
      </c>
    </row>
    <row r="64" spans="3:7" x14ac:dyDescent="0.25">
      <c r="C64" t="s">
        <v>289</v>
      </c>
      <c r="D64" s="83">
        <v>4049482.5</v>
      </c>
      <c r="E64" s="83">
        <v>-478410.77</v>
      </c>
      <c r="F64" s="84">
        <v>-0.1057</v>
      </c>
      <c r="G64" s="84">
        <v>-2.1700000000000001E-2</v>
      </c>
    </row>
    <row r="65" spans="3:7" x14ac:dyDescent="0.25">
      <c r="C65" t="s">
        <v>290</v>
      </c>
      <c r="D65" s="83">
        <v>4451079.5</v>
      </c>
      <c r="E65" s="83">
        <v>401597</v>
      </c>
      <c r="F65" s="84">
        <v>9.9199999999999997E-2</v>
      </c>
      <c r="G65" s="84">
        <v>9.1300000000000006E-2</v>
      </c>
    </row>
    <row r="66" spans="3:7" x14ac:dyDescent="0.25">
      <c r="C66" t="s">
        <v>291</v>
      </c>
      <c r="D66" s="83">
        <v>4580391.3899999997</v>
      </c>
      <c r="E66" s="83">
        <v>129311.89</v>
      </c>
      <c r="F66" s="84">
        <v>2.9100000000000001E-2</v>
      </c>
      <c r="G66" s="84">
        <v>4.5699999999999998E-2</v>
      </c>
    </row>
    <row r="67" spans="3:7" x14ac:dyDescent="0.25">
      <c r="C67" t="s">
        <v>292</v>
      </c>
      <c r="D67" s="83">
        <v>4421136.28</v>
      </c>
      <c r="E67" s="83">
        <v>-159255.10999999999</v>
      </c>
      <c r="F67" s="84">
        <v>-3.4799999999999998E-2</v>
      </c>
      <c r="G67" s="84">
        <v>1.5900000000000001E-2</v>
      </c>
    </row>
    <row r="68" spans="3:7" x14ac:dyDescent="0.25">
      <c r="C68" t="s">
        <v>293</v>
      </c>
      <c r="D68" s="83">
        <v>4425781.3899999997</v>
      </c>
      <c r="E68" s="83">
        <v>4645.1099999999997</v>
      </c>
      <c r="F68" s="84">
        <v>1.1000000000000001E-3</v>
      </c>
      <c r="G68" s="84">
        <v>5.2200000000000003E-2</v>
      </c>
    </row>
    <row r="69" spans="3:7" x14ac:dyDescent="0.25">
      <c r="C69" t="s">
        <v>294</v>
      </c>
      <c r="D69" s="83">
        <v>4425781.3899999997</v>
      </c>
      <c r="E69" s="83">
        <v>0</v>
      </c>
      <c r="F69" s="84">
        <v>0</v>
      </c>
      <c r="G69" s="84">
        <v>3.27E-2</v>
      </c>
    </row>
    <row r="70" spans="3:7" x14ac:dyDescent="0.25">
      <c r="C70" t="s">
        <v>295</v>
      </c>
      <c r="D70" s="83">
        <v>4431633.75</v>
      </c>
      <c r="E70" s="83">
        <v>5852.36</v>
      </c>
      <c r="F70" s="84">
        <v>1.2999999999999999E-3</v>
      </c>
      <c r="G70" s="84">
        <v>-4.0300000000000002E-2</v>
      </c>
    </row>
    <row r="71" spans="3:7" x14ac:dyDescent="0.25">
      <c r="C71" t="s">
        <v>296</v>
      </c>
      <c r="D71" s="83">
        <v>4695768.04</v>
      </c>
      <c r="E71" s="83">
        <v>264134.28999999998</v>
      </c>
      <c r="F71" s="84">
        <v>5.96E-2</v>
      </c>
      <c r="G71" s="84">
        <v>5.0599999999999999E-2</v>
      </c>
    </row>
    <row r="72" spans="3:7" x14ac:dyDescent="0.25">
      <c r="C72" t="s">
        <v>297</v>
      </c>
      <c r="D72" s="83">
        <v>4547728.71</v>
      </c>
      <c r="E72" s="83">
        <v>-148039.32999999999</v>
      </c>
      <c r="F72" s="84">
        <v>-3.15E-2</v>
      </c>
      <c r="G72" s="84">
        <v>3.5299999999999998E-2</v>
      </c>
    </row>
    <row r="73" spans="3:7" x14ac:dyDescent="0.25">
      <c r="C73" t="s">
        <v>298</v>
      </c>
      <c r="D73" s="83">
        <v>4344348.6100000003</v>
      </c>
      <c r="E73" s="83">
        <v>-203380.1</v>
      </c>
      <c r="F73" s="84">
        <v>-4.4699999999999997E-2</v>
      </c>
      <c r="G73" s="84">
        <v>1.21E-2</v>
      </c>
    </row>
    <row r="74" spans="3:7" x14ac:dyDescent="0.25">
      <c r="C74" t="s">
        <v>299</v>
      </c>
      <c r="D74" s="83">
        <v>4254028.43</v>
      </c>
      <c r="E74" s="83">
        <v>-90320.18</v>
      </c>
      <c r="F74" s="84">
        <v>-2.0799999999999999E-2</v>
      </c>
      <c r="G74" s="84">
        <v>2.3400000000000001E-2</v>
      </c>
    </row>
    <row r="75" spans="3:7" x14ac:dyDescent="0.25">
      <c r="C75" t="s">
        <v>300</v>
      </c>
      <c r="D75" s="83">
        <v>4522505.2</v>
      </c>
      <c r="E75" s="83">
        <v>268476.77</v>
      </c>
      <c r="F75" s="84">
        <v>6.3100000000000003E-2</v>
      </c>
      <c r="G75" s="84">
        <v>2.1000000000000001E-2</v>
      </c>
    </row>
    <row r="76" spans="3:7" x14ac:dyDescent="0.25">
      <c r="C76" t="s">
        <v>301</v>
      </c>
      <c r="D76" s="83">
        <v>4291294.04</v>
      </c>
      <c r="E76" s="83">
        <v>-231211.16</v>
      </c>
      <c r="F76" s="84">
        <v>-5.11E-2</v>
      </c>
      <c r="G76" s="84">
        <v>-8.8999999999999999E-3</v>
      </c>
    </row>
    <row r="77" spans="3:7" x14ac:dyDescent="0.25">
      <c r="C77" t="s">
        <v>302</v>
      </c>
      <c r="D77" s="83">
        <v>4667829.46</v>
      </c>
      <c r="E77" s="83">
        <v>376535.42</v>
      </c>
      <c r="F77" s="84">
        <v>8.77E-2</v>
      </c>
      <c r="G77" s="84">
        <v>5.96E-2</v>
      </c>
    </row>
    <row r="78" spans="3:7" x14ac:dyDescent="0.25">
      <c r="C78" t="s">
        <v>303</v>
      </c>
      <c r="D78" s="83">
        <v>4650056.58</v>
      </c>
      <c r="E78" s="83">
        <v>-17772.88</v>
      </c>
      <c r="F78" s="84">
        <v>-3.8E-3</v>
      </c>
      <c r="G78" s="84">
        <v>-2.41E-2</v>
      </c>
    </row>
    <row r="79" spans="3:7" x14ac:dyDescent="0.25">
      <c r="C79" t="s">
        <v>304</v>
      </c>
      <c r="D79" s="83">
        <v>4626353</v>
      </c>
      <c r="E79" s="83">
        <v>-23703.58</v>
      </c>
      <c r="F79" s="84">
        <v>-5.1000000000000004E-3</v>
      </c>
      <c r="G79" s="84">
        <v>2.69E-2</v>
      </c>
    </row>
    <row r="80" spans="3:7" x14ac:dyDescent="0.25">
      <c r="C80" t="s">
        <v>305</v>
      </c>
      <c r="D80" s="83">
        <v>4511154.62</v>
      </c>
      <c r="E80" s="83">
        <v>-115198.38</v>
      </c>
      <c r="F80" s="84">
        <v>-2.4899999999999999E-2</v>
      </c>
      <c r="G80" s="84">
        <v>-1.2699999999999999E-2</v>
      </c>
    </row>
    <row r="81" spans="2:7" x14ac:dyDescent="0.25">
      <c r="C81" t="s">
        <v>306</v>
      </c>
      <c r="D81" s="83">
        <v>3768244</v>
      </c>
      <c r="E81" s="83">
        <v>-742910.62</v>
      </c>
      <c r="F81" s="84">
        <v>-0.16470000000000001</v>
      </c>
      <c r="G81" s="84">
        <v>-5.57E-2</v>
      </c>
    </row>
    <row r="82" spans="2:7" x14ac:dyDescent="0.25">
      <c r="C82" t="s">
        <v>307</v>
      </c>
      <c r="D82" s="83">
        <v>4311305.82</v>
      </c>
      <c r="E82" s="83">
        <v>543061.81999999995</v>
      </c>
      <c r="F82" s="84">
        <v>0.14410000000000001</v>
      </c>
      <c r="G82" s="84">
        <v>-8.6999999999999994E-3</v>
      </c>
    </row>
    <row r="83" spans="2:7" x14ac:dyDescent="0.25">
      <c r="C83" t="s">
        <v>308</v>
      </c>
      <c r="D83" s="83">
        <v>5111166.17</v>
      </c>
      <c r="E83" s="83">
        <v>799860.35</v>
      </c>
      <c r="F83" s="84">
        <v>0.1855</v>
      </c>
      <c r="G83" s="84">
        <v>6.2799999999999995E-2</v>
      </c>
    </row>
    <row r="84" spans="2:7" x14ac:dyDescent="0.25">
      <c r="C84" t="s">
        <v>309</v>
      </c>
      <c r="D84" s="83">
        <v>5943027.8300000001</v>
      </c>
      <c r="E84" s="83">
        <v>831861.66</v>
      </c>
      <c r="F84" s="84">
        <v>0.1628</v>
      </c>
      <c r="G84" s="84">
        <v>5.1400000000000001E-2</v>
      </c>
    </row>
    <row r="85" spans="2:7" x14ac:dyDescent="0.25">
      <c r="C85" t="s">
        <v>310</v>
      </c>
      <c r="D85" s="83">
        <v>6495557.3700000001</v>
      </c>
      <c r="E85" s="83">
        <v>552529.54</v>
      </c>
      <c r="F85" s="84">
        <v>9.2999999999999999E-2</v>
      </c>
      <c r="G85" s="84">
        <v>2.3E-2</v>
      </c>
    </row>
    <row r="86" spans="2:7" x14ac:dyDescent="0.25">
      <c r="C86" t="s">
        <v>311</v>
      </c>
      <c r="D86" s="83">
        <v>6585991.6799999997</v>
      </c>
      <c r="E86" s="83">
        <v>90434.31</v>
      </c>
      <c r="F86" s="84">
        <v>1.3899999999999999E-2</v>
      </c>
      <c r="G86" s="84">
        <v>2.0500000000000001E-2</v>
      </c>
    </row>
    <row r="87" spans="2:7" x14ac:dyDescent="0.25">
      <c r="C87" t="s">
        <v>312</v>
      </c>
      <c r="D87" s="83">
        <v>7195398.9100000001</v>
      </c>
      <c r="E87" s="83">
        <v>609407.23</v>
      </c>
      <c r="F87" s="84">
        <v>9.2499999999999999E-2</v>
      </c>
      <c r="G87" s="84">
        <v>3.56E-2</v>
      </c>
    </row>
    <row r="88" spans="2:7" x14ac:dyDescent="0.25">
      <c r="C88" t="s">
        <v>313</v>
      </c>
      <c r="D88" s="83">
        <v>7273918.9299999997</v>
      </c>
      <c r="E88" s="83">
        <v>78520.02</v>
      </c>
      <c r="F88" s="84">
        <v>1.09E-2</v>
      </c>
      <c r="G88" s="84">
        <v>2.3800000000000002E-2</v>
      </c>
    </row>
    <row r="89" spans="2:7" x14ac:dyDescent="0.25">
      <c r="E89" s="92">
        <f>SUM(E19:E88)</f>
        <v>6273918.9299999978</v>
      </c>
    </row>
    <row r="91" spans="2:7" x14ac:dyDescent="0.25">
      <c r="B91" t="s">
        <v>234</v>
      </c>
    </row>
    <row r="92" spans="2:7" x14ac:dyDescent="0.25">
      <c r="C92" t="s">
        <v>314</v>
      </c>
      <c r="D92" t="s">
        <v>236</v>
      </c>
      <c r="E92" t="s">
        <v>315</v>
      </c>
      <c r="F92" t="s">
        <v>316</v>
      </c>
      <c r="G92" t="s">
        <v>239</v>
      </c>
    </row>
    <row r="93" spans="2:7" x14ac:dyDescent="0.25">
      <c r="C93" t="s">
        <v>240</v>
      </c>
      <c r="D93" t="s">
        <v>241</v>
      </c>
      <c r="E93" t="s">
        <v>46</v>
      </c>
      <c r="F93" t="s">
        <v>242</v>
      </c>
      <c r="G93" t="s">
        <v>243</v>
      </c>
    </row>
    <row r="94" spans="2:7" x14ac:dyDescent="0.25">
      <c r="C94">
        <v>2020</v>
      </c>
      <c r="D94" s="83">
        <v>1966582.34</v>
      </c>
      <c r="E94" s="83">
        <v>966582.34</v>
      </c>
      <c r="F94" s="84">
        <v>0.96660000000000001</v>
      </c>
      <c r="G94" s="84">
        <v>0.1724</v>
      </c>
    </row>
    <row r="95" spans="2:7" x14ac:dyDescent="0.25">
      <c r="C95">
        <v>2021</v>
      </c>
      <c r="D95" s="83">
        <v>3365634.96</v>
      </c>
      <c r="E95" s="83">
        <v>1399052.62</v>
      </c>
      <c r="F95" s="84">
        <v>0.71140000000000003</v>
      </c>
      <c r="G95" s="84">
        <v>0.2873</v>
      </c>
    </row>
    <row r="96" spans="2:7" x14ac:dyDescent="0.25">
      <c r="C96">
        <v>2022</v>
      </c>
      <c r="D96" s="83">
        <v>3421722.39</v>
      </c>
      <c r="E96" s="83">
        <v>56087.43</v>
      </c>
      <c r="F96" s="84">
        <v>1.67E-2</v>
      </c>
      <c r="G96" s="84">
        <v>-0.18179999999999999</v>
      </c>
    </row>
    <row r="97" spans="2:7" x14ac:dyDescent="0.25">
      <c r="C97">
        <v>2023</v>
      </c>
      <c r="D97" s="83">
        <v>4580391.3899999997</v>
      </c>
      <c r="E97" s="83">
        <v>1158669</v>
      </c>
      <c r="F97" s="84">
        <v>0.33860000000000001</v>
      </c>
      <c r="G97" s="84">
        <v>0.26179999999999998</v>
      </c>
    </row>
    <row r="98" spans="2:7" x14ac:dyDescent="0.25">
      <c r="C98">
        <v>2024</v>
      </c>
      <c r="D98" s="83">
        <v>4650056.58</v>
      </c>
      <c r="E98" s="83">
        <v>69665.19</v>
      </c>
      <c r="F98" s="84">
        <v>1.52E-2</v>
      </c>
      <c r="G98" s="84">
        <v>0.24890000000000001</v>
      </c>
    </row>
    <row r="99" spans="2:7" x14ac:dyDescent="0.25">
      <c r="C99">
        <v>2025</v>
      </c>
      <c r="D99" s="83">
        <v>7273918.9299999997</v>
      </c>
      <c r="E99" s="83">
        <v>2623862.35</v>
      </c>
      <c r="F99" s="84">
        <v>0.56430000000000002</v>
      </c>
      <c r="G99" s="84">
        <v>0.17399999999999999</v>
      </c>
    </row>
    <row r="100" spans="2:7" x14ac:dyDescent="0.25">
      <c r="E100" s="92">
        <f>SUM(E94:E99)</f>
        <v>6273918.9299999997</v>
      </c>
    </row>
    <row r="102" spans="2:7" x14ac:dyDescent="0.25">
      <c r="B102" t="s">
        <v>346</v>
      </c>
    </row>
    <row r="103" spans="2:7" x14ac:dyDescent="0.25">
      <c r="C103" t="s">
        <v>1212</v>
      </c>
      <c r="D103" t="s">
        <v>1213</v>
      </c>
      <c r="E103" t="s">
        <v>1214</v>
      </c>
      <c r="F103" t="s">
        <v>1215</v>
      </c>
      <c r="G103" t="s">
        <v>322</v>
      </c>
    </row>
    <row r="104" spans="2:7" x14ac:dyDescent="0.25">
      <c r="C104" t="s">
        <v>323</v>
      </c>
      <c r="D104" t="s">
        <v>39</v>
      </c>
      <c r="E104" t="s">
        <v>324</v>
      </c>
      <c r="F104" t="s">
        <v>325</v>
      </c>
      <c r="G104" t="s">
        <v>243</v>
      </c>
    </row>
    <row r="105" spans="2:7" x14ac:dyDescent="0.25">
      <c r="C105" t="s">
        <v>1216</v>
      </c>
      <c r="D105">
        <v>25</v>
      </c>
      <c r="E105" s="84">
        <v>4.9200000000000001E-2</v>
      </c>
      <c r="F105" s="83">
        <v>716722.29</v>
      </c>
      <c r="G105" s="84">
        <v>0.99929999999999997</v>
      </c>
    </row>
    <row r="106" spans="2:7" x14ac:dyDescent="0.25">
      <c r="C106" t="s">
        <v>1217</v>
      </c>
      <c r="D106">
        <v>37</v>
      </c>
      <c r="E106" s="84">
        <v>7.2800000000000004E-2</v>
      </c>
      <c r="F106" s="83">
        <v>764004.34</v>
      </c>
      <c r="G106" s="84">
        <v>0</v>
      </c>
    </row>
    <row r="107" spans="2:7" x14ac:dyDescent="0.25">
      <c r="C107" t="s">
        <v>350</v>
      </c>
      <c r="D107">
        <v>79</v>
      </c>
      <c r="E107" s="84">
        <v>0.1555</v>
      </c>
      <c r="F107" s="83">
        <v>-2156565.14</v>
      </c>
      <c r="G107" s="84">
        <v>-0.2591</v>
      </c>
    </row>
    <row r="108" spans="2:7" x14ac:dyDescent="0.25">
      <c r="C108" t="s">
        <v>1218</v>
      </c>
      <c r="D108">
        <v>99</v>
      </c>
      <c r="E108" s="84">
        <v>0.19489999999999999</v>
      </c>
      <c r="F108" s="83">
        <v>-1599420.86</v>
      </c>
      <c r="G108" s="84">
        <v>-0.19220000000000001</v>
      </c>
    </row>
    <row r="109" spans="2:7" x14ac:dyDescent="0.25">
      <c r="C109" t="s">
        <v>1219</v>
      </c>
      <c r="D109">
        <v>268</v>
      </c>
      <c r="E109" s="84">
        <v>0.52759999999999996</v>
      </c>
      <c r="F109" s="83">
        <v>8549178.3000000007</v>
      </c>
      <c r="G109" s="84">
        <v>0.82730000000000004</v>
      </c>
    </row>
    <row r="110" spans="2:7" x14ac:dyDescent="0.25">
      <c r="C110" t="s">
        <v>323</v>
      </c>
      <c r="D110" t="s">
        <v>39</v>
      </c>
      <c r="E110" t="s">
        <v>324</v>
      </c>
      <c r="F110" t="s">
        <v>325</v>
      </c>
      <c r="G110" t="s">
        <v>243</v>
      </c>
    </row>
    <row r="111" spans="2:7" x14ac:dyDescent="0.25">
      <c r="C111" t="s">
        <v>1220</v>
      </c>
      <c r="D111">
        <v>508</v>
      </c>
      <c r="E111" s="84">
        <v>1</v>
      </c>
      <c r="F111" s="83">
        <v>6273918.9299999997</v>
      </c>
      <c r="G111" t="s">
        <v>375</v>
      </c>
    </row>
    <row r="112" spans="2:7" x14ac:dyDescent="0.25">
      <c r="C112" t="s">
        <v>332</v>
      </c>
      <c r="D112" t="s">
        <v>325</v>
      </c>
      <c r="E112" t="s">
        <v>17</v>
      </c>
      <c r="F112" t="s">
        <v>325</v>
      </c>
      <c r="G112" t="s">
        <v>243</v>
      </c>
    </row>
    <row r="113" spans="2:14" x14ac:dyDescent="0.25">
      <c r="C113" t="s">
        <v>1221</v>
      </c>
      <c r="D113">
        <v>508</v>
      </c>
      <c r="E113" t="s">
        <v>1222</v>
      </c>
      <c r="F113" t="s">
        <v>1223</v>
      </c>
      <c r="G113" t="s">
        <v>375</v>
      </c>
    </row>
    <row r="115" spans="2:14" x14ac:dyDescent="0.25">
      <c r="M115" s="112">
        <f>SUM(M119:M626)</f>
        <v>6273918.929999996</v>
      </c>
    </row>
    <row r="116" spans="2:14" x14ac:dyDescent="0.25">
      <c r="B116" t="s">
        <v>1224</v>
      </c>
    </row>
    <row r="117" spans="2:14" x14ac:dyDescent="0.25">
      <c r="C117" t="s">
        <v>377</v>
      </c>
      <c r="D117" t="s">
        <v>378</v>
      </c>
      <c r="E117" t="s">
        <v>379</v>
      </c>
      <c r="F117" t="s">
        <v>380</v>
      </c>
      <c r="G117" t="s">
        <v>381</v>
      </c>
      <c r="H117" t="s">
        <v>382</v>
      </c>
      <c r="I117" t="s">
        <v>383</v>
      </c>
      <c r="J117" t="s">
        <v>384</v>
      </c>
      <c r="K117" t="s">
        <v>385</v>
      </c>
      <c r="L117" t="s">
        <v>386</v>
      </c>
      <c r="M117" t="s">
        <v>387</v>
      </c>
      <c r="N117" t="s">
        <v>388</v>
      </c>
    </row>
    <row r="118" spans="2:14" x14ac:dyDescent="0.25">
      <c r="C118" t="s">
        <v>240</v>
      </c>
      <c r="D118" t="s">
        <v>389</v>
      </c>
      <c r="E118" t="s">
        <v>390</v>
      </c>
      <c r="F118" t="s">
        <v>243</v>
      </c>
      <c r="G118" t="s">
        <v>243</v>
      </c>
      <c r="H118" t="s">
        <v>324</v>
      </c>
      <c r="I118" t="s">
        <v>243</v>
      </c>
      <c r="J118" t="s">
        <v>391</v>
      </c>
      <c r="K118" t="s">
        <v>324</v>
      </c>
      <c r="L118" t="s">
        <v>21</v>
      </c>
      <c r="M118" t="s">
        <v>243</v>
      </c>
      <c r="N118" t="s">
        <v>242</v>
      </c>
    </row>
    <row r="119" spans="2:14" x14ac:dyDescent="0.25">
      <c r="C119">
        <v>1</v>
      </c>
      <c r="D119" t="s">
        <v>392</v>
      </c>
      <c r="E119">
        <v>7</v>
      </c>
      <c r="F119" t="s">
        <v>393</v>
      </c>
      <c r="G119" s="83">
        <v>19.8</v>
      </c>
      <c r="H119" s="83">
        <v>13860</v>
      </c>
      <c r="I119" t="s">
        <v>394</v>
      </c>
      <c r="J119" s="83">
        <v>62.7</v>
      </c>
      <c r="K119" s="83">
        <v>43894.69</v>
      </c>
      <c r="L119" t="s">
        <v>395</v>
      </c>
      <c r="M119">
        <v>-30039.38</v>
      </c>
      <c r="N119" s="84">
        <v>-0.20419999999999999</v>
      </c>
    </row>
    <row r="120" spans="2:14" x14ac:dyDescent="0.25">
      <c r="C120">
        <v>2</v>
      </c>
      <c r="D120" t="s">
        <v>400</v>
      </c>
      <c r="E120">
        <v>5</v>
      </c>
      <c r="F120" t="s">
        <v>401</v>
      </c>
      <c r="G120" s="83">
        <v>22.1</v>
      </c>
      <c r="H120" s="83">
        <v>11050</v>
      </c>
      <c r="I120" t="s">
        <v>426</v>
      </c>
      <c r="J120" s="83">
        <v>4.3499999999999996</v>
      </c>
      <c r="K120" s="83">
        <v>2178.35</v>
      </c>
      <c r="L120" t="s">
        <v>399</v>
      </c>
      <c r="M120">
        <v>8868.2999999999993</v>
      </c>
      <c r="N120" s="84">
        <v>7.9600000000000004E-2</v>
      </c>
    </row>
    <row r="121" spans="2:14" x14ac:dyDescent="0.25">
      <c r="C121">
        <v>3</v>
      </c>
      <c r="D121" t="s">
        <v>396</v>
      </c>
      <c r="E121">
        <v>27</v>
      </c>
      <c r="F121" t="s">
        <v>397</v>
      </c>
      <c r="G121" s="83">
        <v>4.8</v>
      </c>
      <c r="H121" s="83">
        <v>12960</v>
      </c>
      <c r="I121" t="s">
        <v>443</v>
      </c>
      <c r="J121" s="83">
        <v>0.92</v>
      </c>
      <c r="K121" s="83">
        <v>2502.09</v>
      </c>
      <c r="L121" t="s">
        <v>399</v>
      </c>
      <c r="M121">
        <v>10439.82</v>
      </c>
      <c r="N121" s="84">
        <v>0.14219999999999999</v>
      </c>
    </row>
    <row r="122" spans="2:14" x14ac:dyDescent="0.25">
      <c r="C122">
        <v>4</v>
      </c>
      <c r="D122" t="s">
        <v>435</v>
      </c>
      <c r="E122">
        <v>22</v>
      </c>
      <c r="F122" t="s">
        <v>420</v>
      </c>
      <c r="G122" s="83">
        <v>6.7</v>
      </c>
      <c r="H122" s="83">
        <v>14740</v>
      </c>
      <c r="I122" t="s">
        <v>439</v>
      </c>
      <c r="J122" s="83">
        <v>1</v>
      </c>
      <c r="K122" s="83">
        <v>2214.7399999999998</v>
      </c>
      <c r="L122" t="s">
        <v>399</v>
      </c>
      <c r="M122">
        <v>12510.52</v>
      </c>
      <c r="N122" s="84">
        <v>9.7500000000000003E-2</v>
      </c>
    </row>
    <row r="123" spans="2:14" x14ac:dyDescent="0.25">
      <c r="C123">
        <v>5</v>
      </c>
      <c r="D123" t="s">
        <v>440</v>
      </c>
      <c r="E123">
        <v>5</v>
      </c>
      <c r="F123" t="s">
        <v>441</v>
      </c>
      <c r="G123" s="83">
        <v>28</v>
      </c>
      <c r="H123" s="83">
        <v>14000</v>
      </c>
      <c r="I123" t="s">
        <v>439</v>
      </c>
      <c r="J123" s="83">
        <v>4.0999999999999996</v>
      </c>
      <c r="K123" s="83">
        <v>2053.35</v>
      </c>
      <c r="L123" t="s">
        <v>399</v>
      </c>
      <c r="M123">
        <v>11943.3</v>
      </c>
      <c r="N123" s="84">
        <v>0.24629999999999999</v>
      </c>
    </row>
    <row r="124" spans="2:14" x14ac:dyDescent="0.25">
      <c r="C124">
        <v>6</v>
      </c>
      <c r="D124" t="s">
        <v>440</v>
      </c>
      <c r="E124">
        <v>7</v>
      </c>
      <c r="F124" t="s">
        <v>442</v>
      </c>
      <c r="G124" s="83">
        <v>21.5</v>
      </c>
      <c r="H124" s="83">
        <v>15050</v>
      </c>
      <c r="I124" t="s">
        <v>439</v>
      </c>
      <c r="J124" s="83">
        <v>3.65</v>
      </c>
      <c r="K124" s="83">
        <v>2559.69</v>
      </c>
      <c r="L124" t="s">
        <v>399</v>
      </c>
      <c r="M124">
        <v>12485.62</v>
      </c>
      <c r="N124" s="84">
        <v>0.18110000000000001</v>
      </c>
    </row>
    <row r="125" spans="2:14" x14ac:dyDescent="0.25">
      <c r="C125">
        <v>7</v>
      </c>
      <c r="D125" t="s">
        <v>440</v>
      </c>
      <c r="E125">
        <v>8</v>
      </c>
      <c r="F125" t="s">
        <v>443</v>
      </c>
      <c r="G125" s="83">
        <v>18.600000000000001</v>
      </c>
      <c r="H125" s="83">
        <v>14880</v>
      </c>
      <c r="I125" t="s">
        <v>439</v>
      </c>
      <c r="J125" s="83">
        <v>3.15</v>
      </c>
      <c r="K125" s="83">
        <v>2525.36</v>
      </c>
      <c r="L125" t="s">
        <v>399</v>
      </c>
      <c r="M125">
        <v>12349.28</v>
      </c>
      <c r="N125" s="84">
        <v>0.16009999999999999</v>
      </c>
    </row>
    <row r="126" spans="2:14" x14ac:dyDescent="0.25">
      <c r="C126">
        <v>8</v>
      </c>
      <c r="D126" t="s">
        <v>396</v>
      </c>
      <c r="E126">
        <v>31</v>
      </c>
      <c r="F126" t="s">
        <v>403</v>
      </c>
      <c r="G126" s="83">
        <v>4.2</v>
      </c>
      <c r="H126" s="83">
        <v>13020</v>
      </c>
      <c r="I126" t="s">
        <v>446</v>
      </c>
      <c r="J126" s="83">
        <v>0.72</v>
      </c>
      <c r="K126" s="83">
        <v>2252.77</v>
      </c>
      <c r="L126" t="s">
        <v>399</v>
      </c>
      <c r="M126">
        <v>10746.46</v>
      </c>
      <c r="N126" s="84">
        <v>0.12039999999999999</v>
      </c>
    </row>
    <row r="127" spans="2:14" x14ac:dyDescent="0.25">
      <c r="C127">
        <v>9</v>
      </c>
      <c r="D127" t="s">
        <v>396</v>
      </c>
      <c r="E127">
        <v>31</v>
      </c>
      <c r="F127" t="s">
        <v>405</v>
      </c>
      <c r="G127" s="83">
        <v>4.3499999999999996</v>
      </c>
      <c r="H127" s="83">
        <v>13485</v>
      </c>
      <c r="I127" t="s">
        <v>452</v>
      </c>
      <c r="J127" s="83">
        <v>0.74</v>
      </c>
      <c r="K127" s="83">
        <v>2314.77</v>
      </c>
      <c r="L127" t="s">
        <v>399</v>
      </c>
      <c r="M127">
        <v>11149.46</v>
      </c>
      <c r="N127" s="84">
        <v>0.1173</v>
      </c>
    </row>
    <row r="128" spans="2:14" x14ac:dyDescent="0.25">
      <c r="C128">
        <v>10</v>
      </c>
      <c r="D128" t="s">
        <v>407</v>
      </c>
      <c r="E128">
        <v>4</v>
      </c>
      <c r="F128" t="s">
        <v>408</v>
      </c>
      <c r="G128" s="83">
        <v>26.4</v>
      </c>
      <c r="H128" s="83">
        <v>10560</v>
      </c>
      <c r="I128" t="s">
        <v>452</v>
      </c>
      <c r="J128" s="83">
        <v>4.8499999999999996</v>
      </c>
      <c r="K128" s="83">
        <v>1942.68</v>
      </c>
      <c r="L128" t="s">
        <v>399</v>
      </c>
      <c r="M128">
        <v>8614.64</v>
      </c>
      <c r="N128" s="84">
        <v>8.8400000000000006E-2</v>
      </c>
    </row>
    <row r="129" spans="3:14" x14ac:dyDescent="0.25">
      <c r="C129">
        <v>11</v>
      </c>
      <c r="D129" t="s">
        <v>415</v>
      </c>
      <c r="E129">
        <v>6</v>
      </c>
      <c r="F129" t="s">
        <v>416</v>
      </c>
      <c r="G129" s="83">
        <v>20.399999999999999</v>
      </c>
      <c r="H129" s="83">
        <v>12240</v>
      </c>
      <c r="I129" t="s">
        <v>452</v>
      </c>
      <c r="J129" s="83">
        <v>4</v>
      </c>
      <c r="K129" s="83">
        <v>2404.02</v>
      </c>
      <c r="L129" t="s">
        <v>399</v>
      </c>
      <c r="M129">
        <v>9831.9599999999991</v>
      </c>
      <c r="N129" s="84">
        <v>7.8200000000000006E-2</v>
      </c>
    </row>
    <row r="130" spans="3:14" x14ac:dyDescent="0.25">
      <c r="C130">
        <v>12</v>
      </c>
      <c r="D130" t="s">
        <v>396</v>
      </c>
      <c r="E130">
        <v>31</v>
      </c>
      <c r="F130" t="s">
        <v>411</v>
      </c>
      <c r="G130" s="83">
        <v>4.3499999999999996</v>
      </c>
      <c r="H130" s="83">
        <v>13485</v>
      </c>
      <c r="I130" t="s">
        <v>500</v>
      </c>
      <c r="J130" s="83">
        <v>0.86</v>
      </c>
      <c r="K130" s="83">
        <v>2686.77</v>
      </c>
      <c r="L130" t="s">
        <v>399</v>
      </c>
      <c r="M130">
        <v>10777.46</v>
      </c>
      <c r="N130" s="84">
        <v>0.1065</v>
      </c>
    </row>
    <row r="131" spans="3:14" x14ac:dyDescent="0.25">
      <c r="C131">
        <v>13</v>
      </c>
      <c r="D131" t="s">
        <v>412</v>
      </c>
      <c r="E131">
        <v>6</v>
      </c>
      <c r="F131" t="s">
        <v>413</v>
      </c>
      <c r="G131" s="83">
        <v>19.600000000000001</v>
      </c>
      <c r="H131" s="83">
        <v>11760</v>
      </c>
      <c r="I131" t="s">
        <v>464</v>
      </c>
      <c r="J131" s="83">
        <v>3.8</v>
      </c>
      <c r="K131" s="83">
        <v>2284.02</v>
      </c>
      <c r="L131" t="s">
        <v>399</v>
      </c>
      <c r="M131">
        <v>9471.9599999999991</v>
      </c>
      <c r="N131" s="84">
        <v>7.8799999999999995E-2</v>
      </c>
    </row>
    <row r="132" spans="3:14" x14ac:dyDescent="0.25">
      <c r="C132">
        <v>14</v>
      </c>
      <c r="D132" t="s">
        <v>396</v>
      </c>
      <c r="E132">
        <v>38</v>
      </c>
      <c r="F132" t="s">
        <v>409</v>
      </c>
      <c r="G132" s="83">
        <v>3.6</v>
      </c>
      <c r="H132" s="83">
        <v>13680</v>
      </c>
      <c r="I132" t="s">
        <v>451</v>
      </c>
      <c r="J132" s="83">
        <v>0.72</v>
      </c>
      <c r="K132" s="83">
        <v>2761.46</v>
      </c>
      <c r="L132" t="s">
        <v>399</v>
      </c>
      <c r="M132">
        <v>10893.08</v>
      </c>
      <c r="N132" s="84">
        <v>8.8499999999999995E-2</v>
      </c>
    </row>
    <row r="133" spans="3:14" x14ac:dyDescent="0.25">
      <c r="C133">
        <v>15</v>
      </c>
      <c r="D133" t="s">
        <v>440</v>
      </c>
      <c r="E133">
        <v>7</v>
      </c>
      <c r="F133" t="s">
        <v>446</v>
      </c>
      <c r="G133" s="83">
        <v>22.5</v>
      </c>
      <c r="H133" s="83">
        <v>15750</v>
      </c>
      <c r="I133" t="s">
        <v>1225</v>
      </c>
      <c r="J133" s="83">
        <v>4.25</v>
      </c>
      <c r="K133" s="83">
        <v>2979.69</v>
      </c>
      <c r="L133" t="s">
        <v>399</v>
      </c>
      <c r="M133">
        <v>12765.62</v>
      </c>
      <c r="N133" s="84">
        <v>0.1779</v>
      </c>
    </row>
    <row r="134" spans="3:14" x14ac:dyDescent="0.25">
      <c r="C134">
        <v>16</v>
      </c>
      <c r="D134" t="s">
        <v>421</v>
      </c>
      <c r="E134">
        <v>3</v>
      </c>
      <c r="F134" t="s">
        <v>422</v>
      </c>
      <c r="G134" s="83">
        <v>40.6</v>
      </c>
      <c r="H134" s="83">
        <v>12180</v>
      </c>
      <c r="I134" t="s">
        <v>1226</v>
      </c>
      <c r="J134" s="83">
        <v>7.9</v>
      </c>
      <c r="K134" s="83">
        <v>2372.0100000000002</v>
      </c>
      <c r="L134" t="s">
        <v>399</v>
      </c>
      <c r="M134">
        <v>9805.98</v>
      </c>
      <c r="N134" s="84">
        <v>7.4399999999999994E-2</v>
      </c>
    </row>
    <row r="135" spans="3:14" x14ac:dyDescent="0.25">
      <c r="C135">
        <v>17</v>
      </c>
      <c r="D135" t="s">
        <v>418</v>
      </c>
      <c r="E135">
        <v>32</v>
      </c>
      <c r="F135" t="s">
        <v>402</v>
      </c>
      <c r="G135" s="83">
        <v>4.3</v>
      </c>
      <c r="H135" s="83">
        <v>13760</v>
      </c>
      <c r="I135" t="s">
        <v>1227</v>
      </c>
      <c r="J135" s="83">
        <v>0.82</v>
      </c>
      <c r="K135" s="83">
        <v>2645.44</v>
      </c>
      <c r="L135" t="s">
        <v>399</v>
      </c>
      <c r="M135">
        <v>11093.12</v>
      </c>
      <c r="N135" s="84">
        <v>7.5899999999999995E-2</v>
      </c>
    </row>
    <row r="136" spans="3:14" x14ac:dyDescent="0.25">
      <c r="C136">
        <v>18</v>
      </c>
      <c r="D136" t="s">
        <v>435</v>
      </c>
      <c r="E136">
        <v>22</v>
      </c>
      <c r="F136" t="s">
        <v>464</v>
      </c>
      <c r="G136" s="83">
        <v>7.4</v>
      </c>
      <c r="H136" s="83">
        <v>16280</v>
      </c>
      <c r="I136" t="s">
        <v>463</v>
      </c>
      <c r="J136" s="83">
        <v>0</v>
      </c>
      <c r="K136" s="83">
        <v>0</v>
      </c>
      <c r="L136" t="s">
        <v>465</v>
      </c>
      <c r="M136">
        <v>16265.26</v>
      </c>
      <c r="N136" s="84">
        <v>0.1181</v>
      </c>
    </row>
    <row r="137" spans="3:14" x14ac:dyDescent="0.25">
      <c r="C137">
        <v>19</v>
      </c>
      <c r="D137" t="s">
        <v>415</v>
      </c>
      <c r="E137">
        <v>6</v>
      </c>
      <c r="F137" t="s">
        <v>425</v>
      </c>
      <c r="G137" s="83">
        <v>23</v>
      </c>
      <c r="H137" s="83">
        <v>13800</v>
      </c>
      <c r="I137" t="s">
        <v>467</v>
      </c>
      <c r="J137" s="83">
        <v>4.5999999999999996</v>
      </c>
      <c r="K137" s="83">
        <v>2764.02</v>
      </c>
      <c r="L137" t="s">
        <v>399</v>
      </c>
      <c r="M137">
        <v>11031.96</v>
      </c>
      <c r="N137" s="84">
        <v>8.1000000000000003E-2</v>
      </c>
    </row>
    <row r="138" spans="3:14" x14ac:dyDescent="0.25">
      <c r="C138">
        <v>20</v>
      </c>
      <c r="D138" t="s">
        <v>412</v>
      </c>
      <c r="E138">
        <v>7</v>
      </c>
      <c r="F138" t="s">
        <v>427</v>
      </c>
      <c r="G138" s="83">
        <v>18.3</v>
      </c>
      <c r="H138" s="83">
        <v>12810</v>
      </c>
      <c r="I138" t="s">
        <v>1228</v>
      </c>
      <c r="J138" s="83">
        <v>2.8</v>
      </c>
      <c r="K138" s="83">
        <v>1964.69</v>
      </c>
      <c r="L138" t="s">
        <v>399</v>
      </c>
      <c r="M138">
        <v>10840.62</v>
      </c>
      <c r="N138" s="84">
        <v>8.0799999999999997E-2</v>
      </c>
    </row>
    <row r="139" spans="3:14" x14ac:dyDescent="0.25">
      <c r="C139">
        <v>21</v>
      </c>
      <c r="D139" t="s">
        <v>415</v>
      </c>
      <c r="E139">
        <v>6</v>
      </c>
      <c r="F139" t="s">
        <v>424</v>
      </c>
      <c r="G139" s="83">
        <v>21.9</v>
      </c>
      <c r="H139" s="83">
        <v>13140</v>
      </c>
      <c r="I139" t="s">
        <v>469</v>
      </c>
      <c r="J139" s="83">
        <v>4.0999999999999996</v>
      </c>
      <c r="K139" s="83">
        <v>2464.02</v>
      </c>
      <c r="L139" t="s">
        <v>399</v>
      </c>
      <c r="M139">
        <v>10671.96</v>
      </c>
      <c r="N139" s="84">
        <v>8.1600000000000006E-2</v>
      </c>
    </row>
    <row r="140" spans="3:14" x14ac:dyDescent="0.25">
      <c r="C140">
        <v>22</v>
      </c>
      <c r="D140" t="s">
        <v>415</v>
      </c>
      <c r="E140">
        <v>7</v>
      </c>
      <c r="F140" t="s">
        <v>419</v>
      </c>
      <c r="G140" s="83">
        <v>19.8</v>
      </c>
      <c r="H140" s="83">
        <v>13860</v>
      </c>
      <c r="I140" t="s">
        <v>469</v>
      </c>
      <c r="J140" s="83">
        <v>3.5</v>
      </c>
      <c r="K140" s="83">
        <v>2454.69</v>
      </c>
      <c r="L140" t="s">
        <v>399</v>
      </c>
      <c r="M140">
        <v>11400.62</v>
      </c>
      <c r="N140" s="84">
        <v>7.7499999999999999E-2</v>
      </c>
    </row>
    <row r="141" spans="3:14" x14ac:dyDescent="0.25">
      <c r="C141">
        <v>23</v>
      </c>
      <c r="D141" t="s">
        <v>396</v>
      </c>
      <c r="E141">
        <v>34</v>
      </c>
      <c r="F141" t="s">
        <v>456</v>
      </c>
      <c r="G141" s="83">
        <v>4.3</v>
      </c>
      <c r="H141" s="83">
        <v>14620</v>
      </c>
      <c r="I141" t="s">
        <v>481</v>
      </c>
      <c r="J141" s="83">
        <v>0.68</v>
      </c>
      <c r="K141" s="83">
        <v>2334.7800000000002</v>
      </c>
      <c r="L141" t="s">
        <v>399</v>
      </c>
      <c r="M141">
        <v>12262.44</v>
      </c>
      <c r="N141" s="84">
        <v>0.10100000000000001</v>
      </c>
    </row>
    <row r="142" spans="3:14" x14ac:dyDescent="0.25">
      <c r="C142">
        <v>24</v>
      </c>
      <c r="D142" t="s">
        <v>396</v>
      </c>
      <c r="E142">
        <v>35</v>
      </c>
      <c r="F142" t="s">
        <v>466</v>
      </c>
      <c r="G142" s="83">
        <v>4.4000000000000004</v>
      </c>
      <c r="H142" s="83">
        <v>15400</v>
      </c>
      <c r="I142" t="s">
        <v>481</v>
      </c>
      <c r="J142" s="83">
        <v>0.83</v>
      </c>
      <c r="K142" s="83">
        <v>2928.45</v>
      </c>
      <c r="L142" t="s">
        <v>399</v>
      </c>
      <c r="M142">
        <v>12448.1</v>
      </c>
      <c r="N142" s="84">
        <v>9.4600000000000004E-2</v>
      </c>
    </row>
    <row r="143" spans="3:14" x14ac:dyDescent="0.25">
      <c r="C143">
        <v>25</v>
      </c>
      <c r="D143" t="s">
        <v>437</v>
      </c>
      <c r="E143">
        <v>19</v>
      </c>
      <c r="F143" t="s">
        <v>438</v>
      </c>
      <c r="G143" s="83">
        <v>7.5</v>
      </c>
      <c r="H143" s="83">
        <v>14250</v>
      </c>
      <c r="I143" t="s">
        <v>1229</v>
      </c>
      <c r="J143" s="83">
        <v>1.4</v>
      </c>
      <c r="K143" s="83">
        <v>2672.73</v>
      </c>
      <c r="L143" t="s">
        <v>399</v>
      </c>
      <c r="M143">
        <v>11564.54</v>
      </c>
      <c r="N143" s="84">
        <v>8.4000000000000005E-2</v>
      </c>
    </row>
    <row r="144" spans="3:14" x14ac:dyDescent="0.25">
      <c r="C144">
        <v>26</v>
      </c>
      <c r="D144" t="s">
        <v>453</v>
      </c>
      <c r="E144">
        <v>27</v>
      </c>
      <c r="F144" t="s">
        <v>454</v>
      </c>
      <c r="G144" s="83">
        <v>5.3</v>
      </c>
      <c r="H144" s="83">
        <v>14310</v>
      </c>
      <c r="I144" t="s">
        <v>486</v>
      </c>
      <c r="J144" s="83">
        <v>1.05</v>
      </c>
      <c r="K144" s="83">
        <v>2853.09</v>
      </c>
      <c r="L144" t="s">
        <v>399</v>
      </c>
      <c r="M144">
        <v>11438.82</v>
      </c>
      <c r="N144" s="84">
        <v>8.5199999999999998E-2</v>
      </c>
    </row>
    <row r="145" spans="3:14" x14ac:dyDescent="0.25">
      <c r="C145">
        <v>27</v>
      </c>
      <c r="D145" t="s">
        <v>447</v>
      </c>
      <c r="E145">
        <v>11</v>
      </c>
      <c r="F145" t="s">
        <v>448</v>
      </c>
      <c r="G145" s="83">
        <v>12.4</v>
      </c>
      <c r="H145" s="83">
        <v>13640</v>
      </c>
      <c r="I145" t="s">
        <v>1230</v>
      </c>
      <c r="J145" s="83">
        <v>2.2999999999999998</v>
      </c>
      <c r="K145" s="83">
        <v>2537.37</v>
      </c>
      <c r="L145" t="s">
        <v>399</v>
      </c>
      <c r="M145">
        <v>11095.26</v>
      </c>
      <c r="N145" s="84">
        <v>8.5800000000000001E-2</v>
      </c>
    </row>
    <row r="146" spans="3:14" x14ac:dyDescent="0.25">
      <c r="C146">
        <v>28</v>
      </c>
      <c r="D146" t="s">
        <v>432</v>
      </c>
      <c r="E146">
        <v>10</v>
      </c>
      <c r="F146" t="s">
        <v>433</v>
      </c>
      <c r="G146" s="83">
        <v>13.15</v>
      </c>
      <c r="H146" s="83">
        <v>13150</v>
      </c>
      <c r="I146" t="s">
        <v>1231</v>
      </c>
      <c r="J146" s="83">
        <v>2.57</v>
      </c>
      <c r="K146" s="83">
        <v>2576.6999999999998</v>
      </c>
      <c r="L146" t="s">
        <v>399</v>
      </c>
      <c r="M146">
        <v>10566.6</v>
      </c>
      <c r="N146" s="84">
        <v>8.0100000000000005E-2</v>
      </c>
    </row>
    <row r="147" spans="3:14" x14ac:dyDescent="0.25">
      <c r="C147">
        <v>29</v>
      </c>
      <c r="D147" t="s">
        <v>396</v>
      </c>
      <c r="E147">
        <v>46</v>
      </c>
      <c r="F147" t="s">
        <v>451</v>
      </c>
      <c r="G147" s="83">
        <v>4</v>
      </c>
      <c r="H147" s="83">
        <v>18400</v>
      </c>
      <c r="I147" t="s">
        <v>1231</v>
      </c>
      <c r="J147" s="83">
        <v>0.79</v>
      </c>
      <c r="K147" s="83">
        <v>3664.82</v>
      </c>
      <c r="L147" t="s">
        <v>399</v>
      </c>
      <c r="M147">
        <v>14704.36</v>
      </c>
      <c r="N147" s="84">
        <v>7.8E-2</v>
      </c>
    </row>
    <row r="148" spans="3:14" x14ac:dyDescent="0.25">
      <c r="C148">
        <v>30</v>
      </c>
      <c r="D148" t="s">
        <v>482</v>
      </c>
      <c r="E148">
        <v>20</v>
      </c>
      <c r="F148" t="s">
        <v>426</v>
      </c>
      <c r="G148" s="83">
        <v>7.3</v>
      </c>
      <c r="H148" s="83">
        <v>14600</v>
      </c>
      <c r="I148" t="s">
        <v>493</v>
      </c>
      <c r="J148" s="83">
        <v>1.45</v>
      </c>
      <c r="K148" s="83">
        <v>2913.4</v>
      </c>
      <c r="L148" t="s">
        <v>399</v>
      </c>
      <c r="M148">
        <v>11673.2</v>
      </c>
      <c r="N148" s="84">
        <v>7.7600000000000002E-2</v>
      </c>
    </row>
    <row r="149" spans="3:14" x14ac:dyDescent="0.25">
      <c r="C149">
        <v>31</v>
      </c>
      <c r="D149" t="s">
        <v>479</v>
      </c>
      <c r="E149">
        <v>42</v>
      </c>
      <c r="F149" t="s">
        <v>496</v>
      </c>
      <c r="G149" s="83">
        <v>3.8</v>
      </c>
      <c r="H149" s="83">
        <v>15960</v>
      </c>
      <c r="I149" t="s">
        <v>1232</v>
      </c>
      <c r="J149" s="83">
        <v>0.75</v>
      </c>
      <c r="K149" s="83">
        <v>3178.14</v>
      </c>
      <c r="L149" t="s">
        <v>399</v>
      </c>
      <c r="M149">
        <v>12753.72</v>
      </c>
      <c r="N149" s="84">
        <v>7.3700000000000002E-2</v>
      </c>
    </row>
    <row r="150" spans="3:14" x14ac:dyDescent="0.25">
      <c r="C150">
        <v>32</v>
      </c>
      <c r="D150" t="s">
        <v>429</v>
      </c>
      <c r="E150">
        <v>6</v>
      </c>
      <c r="F150" t="s">
        <v>430</v>
      </c>
      <c r="G150" s="83">
        <v>22.5</v>
      </c>
      <c r="H150" s="83">
        <v>13500</v>
      </c>
      <c r="I150" t="s">
        <v>1233</v>
      </c>
      <c r="J150" s="83">
        <v>26.6</v>
      </c>
      <c r="K150" s="83">
        <v>15964.02</v>
      </c>
      <c r="L150" t="s">
        <v>623</v>
      </c>
      <c r="M150">
        <v>-2468.04</v>
      </c>
      <c r="N150" s="84">
        <v>-1.7299999999999999E-2</v>
      </c>
    </row>
    <row r="151" spans="3:14" x14ac:dyDescent="0.25">
      <c r="C151">
        <v>33</v>
      </c>
      <c r="D151" t="s">
        <v>440</v>
      </c>
      <c r="E151">
        <v>9</v>
      </c>
      <c r="F151" t="s">
        <v>445</v>
      </c>
      <c r="G151" s="83">
        <v>14.6</v>
      </c>
      <c r="H151" s="83">
        <v>13140</v>
      </c>
      <c r="I151" t="s">
        <v>1234</v>
      </c>
      <c r="J151" s="83">
        <v>10.199999999999999</v>
      </c>
      <c r="K151" s="83">
        <v>9186.0300000000007</v>
      </c>
      <c r="L151" t="s">
        <v>395</v>
      </c>
      <c r="M151">
        <v>3947.94</v>
      </c>
      <c r="N151" s="84">
        <v>3.1199999999999999E-2</v>
      </c>
    </row>
    <row r="152" spans="3:14" x14ac:dyDescent="0.25">
      <c r="C152">
        <v>34</v>
      </c>
      <c r="D152" t="s">
        <v>440</v>
      </c>
      <c r="E152">
        <v>11</v>
      </c>
      <c r="F152" t="s">
        <v>444</v>
      </c>
      <c r="G152" s="83">
        <v>13.15</v>
      </c>
      <c r="H152" s="83">
        <v>14465</v>
      </c>
      <c r="I152" t="s">
        <v>1234</v>
      </c>
      <c r="J152" s="83">
        <v>22</v>
      </c>
      <c r="K152" s="83">
        <v>24207.37</v>
      </c>
      <c r="L152" t="s">
        <v>395</v>
      </c>
      <c r="M152">
        <v>-9749.74</v>
      </c>
      <c r="N152" s="84">
        <v>-9.1499999999999998E-2</v>
      </c>
    </row>
    <row r="153" spans="3:14" x14ac:dyDescent="0.25">
      <c r="C153">
        <v>35</v>
      </c>
      <c r="D153" t="s">
        <v>440</v>
      </c>
      <c r="E153">
        <v>10</v>
      </c>
      <c r="F153" t="s">
        <v>450</v>
      </c>
      <c r="G153" s="83">
        <v>17.8</v>
      </c>
      <c r="H153" s="83">
        <v>17800</v>
      </c>
      <c r="I153" t="s">
        <v>1234</v>
      </c>
      <c r="J153" s="83">
        <v>31.85</v>
      </c>
      <c r="K153" s="83">
        <v>31856.7</v>
      </c>
      <c r="L153" t="s">
        <v>395</v>
      </c>
      <c r="M153">
        <v>-14063.4</v>
      </c>
      <c r="N153" s="84">
        <v>-0.1376</v>
      </c>
    </row>
    <row r="154" spans="3:14" x14ac:dyDescent="0.25">
      <c r="C154">
        <v>36</v>
      </c>
      <c r="D154" t="s">
        <v>440</v>
      </c>
      <c r="E154">
        <v>13</v>
      </c>
      <c r="F154" t="s">
        <v>452</v>
      </c>
      <c r="G154" s="83">
        <v>13.35</v>
      </c>
      <c r="H154" s="83">
        <v>17355</v>
      </c>
      <c r="I154" t="s">
        <v>1234</v>
      </c>
      <c r="J154" s="83">
        <v>26.9</v>
      </c>
      <c r="K154" s="83">
        <v>34978.71</v>
      </c>
      <c r="L154" t="s">
        <v>395</v>
      </c>
      <c r="M154">
        <v>-17632.419999999998</v>
      </c>
      <c r="N154" s="84">
        <v>-0.13339999999999999</v>
      </c>
    </row>
    <row r="155" spans="3:14" x14ac:dyDescent="0.25">
      <c r="C155">
        <v>37</v>
      </c>
      <c r="D155" t="s">
        <v>392</v>
      </c>
      <c r="E155">
        <v>6</v>
      </c>
      <c r="F155" t="s">
        <v>423</v>
      </c>
      <c r="G155" s="83">
        <v>21.6</v>
      </c>
      <c r="H155" s="83">
        <v>12960</v>
      </c>
      <c r="I155" t="s">
        <v>1235</v>
      </c>
      <c r="J155" s="83">
        <v>4</v>
      </c>
      <c r="K155" s="83">
        <v>2404.02</v>
      </c>
      <c r="L155" t="s">
        <v>399</v>
      </c>
      <c r="M155">
        <v>10551.96</v>
      </c>
      <c r="N155" s="84">
        <v>8.8599999999999998E-2</v>
      </c>
    </row>
    <row r="156" spans="3:14" x14ac:dyDescent="0.25">
      <c r="C156">
        <v>38</v>
      </c>
      <c r="D156" t="s">
        <v>392</v>
      </c>
      <c r="E156">
        <v>6</v>
      </c>
      <c r="F156" t="s">
        <v>417</v>
      </c>
      <c r="G156" s="83">
        <v>21.6</v>
      </c>
      <c r="H156" s="83">
        <v>12960</v>
      </c>
      <c r="I156" t="s">
        <v>539</v>
      </c>
      <c r="J156" s="83">
        <v>3.8</v>
      </c>
      <c r="K156" s="83">
        <v>2284.02</v>
      </c>
      <c r="L156" t="s">
        <v>399</v>
      </c>
      <c r="M156">
        <v>10671.96</v>
      </c>
      <c r="N156" s="84">
        <v>9.9699999999999997E-2</v>
      </c>
    </row>
    <row r="157" spans="3:14" x14ac:dyDescent="0.25">
      <c r="C157">
        <v>39</v>
      </c>
      <c r="D157" t="s">
        <v>392</v>
      </c>
      <c r="E157">
        <v>8</v>
      </c>
      <c r="F157" t="s">
        <v>428</v>
      </c>
      <c r="G157" s="83">
        <v>18.100000000000001</v>
      </c>
      <c r="H157" s="83">
        <v>14480</v>
      </c>
      <c r="I157" t="s">
        <v>539</v>
      </c>
      <c r="J157" s="83">
        <v>3.4</v>
      </c>
      <c r="K157" s="83">
        <v>2725.36</v>
      </c>
      <c r="L157" t="s">
        <v>399</v>
      </c>
      <c r="M157">
        <v>11749.28</v>
      </c>
      <c r="N157" s="84">
        <v>8.3000000000000004E-2</v>
      </c>
    </row>
    <row r="158" spans="3:14" x14ac:dyDescent="0.25">
      <c r="C158">
        <v>40</v>
      </c>
      <c r="D158" t="s">
        <v>479</v>
      </c>
      <c r="E158">
        <v>42</v>
      </c>
      <c r="F158" t="s">
        <v>480</v>
      </c>
      <c r="G158" s="83">
        <v>4</v>
      </c>
      <c r="H158" s="83">
        <v>16800</v>
      </c>
      <c r="I158" t="s">
        <v>1236</v>
      </c>
      <c r="J158" s="83">
        <v>0.8</v>
      </c>
      <c r="K158" s="83">
        <v>3388.14</v>
      </c>
      <c r="L158" t="s">
        <v>399</v>
      </c>
      <c r="M158">
        <v>13383.72</v>
      </c>
      <c r="N158" s="84">
        <v>7.7700000000000005E-2</v>
      </c>
    </row>
    <row r="159" spans="3:14" x14ac:dyDescent="0.25">
      <c r="C159">
        <v>41</v>
      </c>
      <c r="D159" t="s">
        <v>396</v>
      </c>
      <c r="E159">
        <v>43</v>
      </c>
      <c r="F159" t="s">
        <v>474</v>
      </c>
      <c r="G159" s="83">
        <v>3.75</v>
      </c>
      <c r="H159" s="83">
        <v>16125</v>
      </c>
      <c r="I159" t="s">
        <v>1236</v>
      </c>
      <c r="J159" s="83">
        <v>0.72</v>
      </c>
      <c r="K159" s="83">
        <v>3124.81</v>
      </c>
      <c r="L159" t="s">
        <v>399</v>
      </c>
      <c r="M159">
        <v>12971.38</v>
      </c>
      <c r="N159" s="84">
        <v>8.3199999999999996E-2</v>
      </c>
    </row>
    <row r="160" spans="3:14" x14ac:dyDescent="0.25">
      <c r="C160">
        <v>42</v>
      </c>
      <c r="D160" t="s">
        <v>482</v>
      </c>
      <c r="E160">
        <v>19</v>
      </c>
      <c r="F160" t="s">
        <v>484</v>
      </c>
      <c r="G160" s="83">
        <v>7.8</v>
      </c>
      <c r="H160" s="83">
        <v>14820</v>
      </c>
      <c r="I160" t="s">
        <v>1237</v>
      </c>
      <c r="J160" s="83">
        <v>1.45</v>
      </c>
      <c r="K160" s="83">
        <v>2767.73</v>
      </c>
      <c r="L160" t="s">
        <v>399</v>
      </c>
      <c r="M160">
        <v>12039.54</v>
      </c>
      <c r="N160" s="84">
        <v>8.2100000000000006E-2</v>
      </c>
    </row>
    <row r="161" spans="3:14" x14ac:dyDescent="0.25">
      <c r="C161">
        <v>43</v>
      </c>
      <c r="D161" t="s">
        <v>468</v>
      </c>
      <c r="E161">
        <v>14</v>
      </c>
      <c r="F161" t="s">
        <v>434</v>
      </c>
      <c r="G161" s="83">
        <v>11</v>
      </c>
      <c r="H161" s="83">
        <v>15400</v>
      </c>
      <c r="I161" t="s">
        <v>495</v>
      </c>
      <c r="J161" s="83">
        <v>2.14</v>
      </c>
      <c r="K161" s="83">
        <v>3005.38</v>
      </c>
      <c r="L161" t="s">
        <v>399</v>
      </c>
      <c r="M161">
        <v>12385.24</v>
      </c>
      <c r="N161" s="84">
        <v>8.5099999999999995E-2</v>
      </c>
    </row>
    <row r="162" spans="3:14" x14ac:dyDescent="0.25">
      <c r="C162">
        <v>44</v>
      </c>
      <c r="D162" t="s">
        <v>392</v>
      </c>
      <c r="E162">
        <v>6</v>
      </c>
      <c r="F162" t="s">
        <v>449</v>
      </c>
      <c r="G162" s="83">
        <v>23.8</v>
      </c>
      <c r="H162" s="83">
        <v>14280</v>
      </c>
      <c r="I162" t="s">
        <v>497</v>
      </c>
      <c r="J162" s="83">
        <v>4.5</v>
      </c>
      <c r="K162" s="83">
        <v>2704.02</v>
      </c>
      <c r="L162" t="s">
        <v>399</v>
      </c>
      <c r="M162">
        <v>11571.96</v>
      </c>
      <c r="N162" s="84">
        <v>0.1036</v>
      </c>
    </row>
    <row r="163" spans="3:14" x14ac:dyDescent="0.25">
      <c r="C163">
        <v>45</v>
      </c>
      <c r="D163" t="s">
        <v>468</v>
      </c>
      <c r="E163">
        <v>16</v>
      </c>
      <c r="F163" t="s">
        <v>439</v>
      </c>
      <c r="G163" s="83">
        <v>10.1</v>
      </c>
      <c r="H163" s="83">
        <v>16160</v>
      </c>
      <c r="I163" t="s">
        <v>497</v>
      </c>
      <c r="J163" s="83">
        <v>2.02</v>
      </c>
      <c r="K163" s="83">
        <v>3242.72</v>
      </c>
      <c r="L163" t="s">
        <v>399</v>
      </c>
      <c r="M163">
        <v>12906.56</v>
      </c>
      <c r="N163" s="84">
        <v>7.3400000000000007E-2</v>
      </c>
    </row>
    <row r="164" spans="3:14" x14ac:dyDescent="0.25">
      <c r="C164">
        <v>46</v>
      </c>
      <c r="D164" t="s">
        <v>396</v>
      </c>
      <c r="E164">
        <v>36</v>
      </c>
      <c r="F164" t="s">
        <v>472</v>
      </c>
      <c r="G164" s="83">
        <v>4.5999999999999996</v>
      </c>
      <c r="H164" s="83">
        <v>16560</v>
      </c>
      <c r="I164" t="s">
        <v>497</v>
      </c>
      <c r="J164" s="83">
        <v>0.91</v>
      </c>
      <c r="K164" s="83">
        <v>3300.12</v>
      </c>
      <c r="L164" t="s">
        <v>399</v>
      </c>
      <c r="M164">
        <v>13235.76</v>
      </c>
      <c r="N164" s="84">
        <v>9.5699999999999993E-2</v>
      </c>
    </row>
    <row r="165" spans="3:14" x14ac:dyDescent="0.25">
      <c r="C165">
        <v>47</v>
      </c>
      <c r="D165" t="s">
        <v>392</v>
      </c>
      <c r="E165">
        <v>6</v>
      </c>
      <c r="F165" t="s">
        <v>487</v>
      </c>
      <c r="G165" s="83">
        <v>24.1</v>
      </c>
      <c r="H165" s="83">
        <v>14460</v>
      </c>
      <c r="I165" t="s">
        <v>1238</v>
      </c>
      <c r="J165" s="83">
        <v>4.4000000000000004</v>
      </c>
      <c r="K165" s="83">
        <v>2644.02</v>
      </c>
      <c r="L165" t="s">
        <v>399</v>
      </c>
      <c r="M165">
        <v>11811.96</v>
      </c>
      <c r="N165" s="84">
        <v>0.10050000000000001</v>
      </c>
    </row>
    <row r="166" spans="3:14" x14ac:dyDescent="0.25">
      <c r="C166">
        <v>48</v>
      </c>
      <c r="D166" t="s">
        <v>458</v>
      </c>
      <c r="E166">
        <v>20</v>
      </c>
      <c r="F166" t="s">
        <v>459</v>
      </c>
      <c r="G166" s="83">
        <v>6.5</v>
      </c>
      <c r="H166" s="83">
        <v>13000</v>
      </c>
      <c r="I166" t="s">
        <v>1239</v>
      </c>
      <c r="J166" s="83">
        <v>1.1499999999999999</v>
      </c>
      <c r="K166" s="83">
        <v>2313.4</v>
      </c>
      <c r="L166" t="s">
        <v>399</v>
      </c>
      <c r="M166">
        <v>10673.2</v>
      </c>
      <c r="N166" s="84">
        <v>7.7899999999999997E-2</v>
      </c>
    </row>
    <row r="167" spans="3:14" x14ac:dyDescent="0.25">
      <c r="C167">
        <v>49</v>
      </c>
      <c r="D167" t="s">
        <v>461</v>
      </c>
      <c r="E167">
        <v>7</v>
      </c>
      <c r="F167" t="s">
        <v>462</v>
      </c>
      <c r="G167" s="83">
        <v>20.7</v>
      </c>
      <c r="H167" s="83">
        <v>14490</v>
      </c>
      <c r="I167" t="s">
        <v>1239</v>
      </c>
      <c r="J167" s="83">
        <v>3.3</v>
      </c>
      <c r="K167" s="83">
        <v>2314.69</v>
      </c>
      <c r="L167" t="s">
        <v>399</v>
      </c>
      <c r="M167">
        <v>12170.62</v>
      </c>
      <c r="N167" s="84">
        <v>9.7000000000000003E-2</v>
      </c>
    </row>
    <row r="168" spans="3:14" x14ac:dyDescent="0.25">
      <c r="C168">
        <v>50</v>
      </c>
      <c r="D168" t="s">
        <v>392</v>
      </c>
      <c r="E168">
        <v>6</v>
      </c>
      <c r="F168" t="s">
        <v>431</v>
      </c>
      <c r="G168" s="83">
        <v>23.4</v>
      </c>
      <c r="H168" s="83">
        <v>14040</v>
      </c>
      <c r="I168" t="s">
        <v>1239</v>
      </c>
      <c r="J168" s="83">
        <v>3.7</v>
      </c>
      <c r="K168" s="83">
        <v>2224.02</v>
      </c>
      <c r="L168" t="s">
        <v>399</v>
      </c>
      <c r="M168">
        <v>11811.96</v>
      </c>
      <c r="N168" s="84">
        <v>9.5299999999999996E-2</v>
      </c>
    </row>
    <row r="169" spans="3:14" x14ac:dyDescent="0.25">
      <c r="C169">
        <v>51</v>
      </c>
      <c r="D169" t="s">
        <v>461</v>
      </c>
      <c r="E169">
        <v>8</v>
      </c>
      <c r="F169" t="s">
        <v>476</v>
      </c>
      <c r="G169" s="83">
        <v>18.7</v>
      </c>
      <c r="H169" s="83">
        <v>14960</v>
      </c>
      <c r="I169" t="s">
        <v>1239</v>
      </c>
      <c r="J169" s="83">
        <v>3</v>
      </c>
      <c r="K169" s="83">
        <v>2405.36</v>
      </c>
      <c r="L169" t="s">
        <v>399</v>
      </c>
      <c r="M169">
        <v>12549.28</v>
      </c>
      <c r="N169" s="84">
        <v>8.8999999999999996E-2</v>
      </c>
    </row>
    <row r="170" spans="3:14" x14ac:dyDescent="0.25">
      <c r="C170">
        <v>52</v>
      </c>
      <c r="D170" t="s">
        <v>461</v>
      </c>
      <c r="E170">
        <v>8</v>
      </c>
      <c r="F170" t="s">
        <v>478</v>
      </c>
      <c r="G170" s="83">
        <v>20</v>
      </c>
      <c r="H170" s="83">
        <v>16000</v>
      </c>
      <c r="I170" t="s">
        <v>1239</v>
      </c>
      <c r="J170" s="83">
        <v>4</v>
      </c>
      <c r="K170" s="83">
        <v>3205.36</v>
      </c>
      <c r="L170" t="s">
        <v>399</v>
      </c>
      <c r="M170">
        <v>12789.28</v>
      </c>
      <c r="N170" s="84">
        <v>8.4099999999999994E-2</v>
      </c>
    </row>
    <row r="171" spans="3:14" x14ac:dyDescent="0.25">
      <c r="C171">
        <v>53</v>
      </c>
      <c r="D171" t="s">
        <v>482</v>
      </c>
      <c r="E171">
        <v>21</v>
      </c>
      <c r="F171" t="s">
        <v>485</v>
      </c>
      <c r="G171" s="83">
        <v>7.9</v>
      </c>
      <c r="H171" s="83">
        <v>16590</v>
      </c>
      <c r="I171" t="s">
        <v>501</v>
      </c>
      <c r="J171" s="83">
        <v>1.45</v>
      </c>
      <c r="K171" s="83">
        <v>3059.07</v>
      </c>
      <c r="L171" t="s">
        <v>399</v>
      </c>
      <c r="M171">
        <v>13516.86</v>
      </c>
      <c r="N171" s="84">
        <v>7.6100000000000001E-2</v>
      </c>
    </row>
    <row r="172" spans="3:14" x14ac:dyDescent="0.25">
      <c r="C172">
        <v>54</v>
      </c>
      <c r="D172" t="s">
        <v>392</v>
      </c>
      <c r="E172">
        <v>7</v>
      </c>
      <c r="F172" t="s">
        <v>494</v>
      </c>
      <c r="G172" s="83">
        <v>21</v>
      </c>
      <c r="H172" s="83">
        <v>14700</v>
      </c>
      <c r="I172" t="s">
        <v>1240</v>
      </c>
      <c r="J172" s="83">
        <v>4</v>
      </c>
      <c r="K172" s="83">
        <v>2804.69</v>
      </c>
      <c r="L172" t="s">
        <v>399</v>
      </c>
      <c r="M172">
        <v>11890.62</v>
      </c>
      <c r="N172" s="84">
        <v>7.7600000000000002E-2</v>
      </c>
    </row>
    <row r="173" spans="3:14" x14ac:dyDescent="0.25">
      <c r="C173">
        <v>55</v>
      </c>
      <c r="D173" t="s">
        <v>461</v>
      </c>
      <c r="E173">
        <v>7</v>
      </c>
      <c r="F173" t="s">
        <v>436</v>
      </c>
      <c r="G173" s="83">
        <v>21.9</v>
      </c>
      <c r="H173" s="83">
        <v>15330</v>
      </c>
      <c r="I173" t="s">
        <v>549</v>
      </c>
      <c r="J173" s="83">
        <v>4.0999999999999996</v>
      </c>
      <c r="K173" s="83">
        <v>2874.69</v>
      </c>
      <c r="L173" t="s">
        <v>399</v>
      </c>
      <c r="M173">
        <v>12450.62</v>
      </c>
      <c r="N173" s="84">
        <v>8.9800000000000005E-2</v>
      </c>
    </row>
    <row r="174" spans="3:14" x14ac:dyDescent="0.25">
      <c r="C174">
        <v>56</v>
      </c>
      <c r="D174" t="s">
        <v>396</v>
      </c>
      <c r="E174">
        <v>43</v>
      </c>
      <c r="F174" t="s">
        <v>457</v>
      </c>
      <c r="G174" s="83">
        <v>4.0999999999999996</v>
      </c>
      <c r="H174" s="83">
        <v>17630</v>
      </c>
      <c r="I174" t="s">
        <v>549</v>
      </c>
      <c r="J174" s="83">
        <v>0.82</v>
      </c>
      <c r="K174" s="83">
        <v>3554.81</v>
      </c>
      <c r="L174" t="s">
        <v>399</v>
      </c>
      <c r="M174">
        <v>14046.38</v>
      </c>
      <c r="N174" s="84">
        <v>7.9899999999999999E-2</v>
      </c>
    </row>
    <row r="175" spans="3:14" x14ac:dyDescent="0.25">
      <c r="C175">
        <v>57</v>
      </c>
      <c r="D175" t="s">
        <v>396</v>
      </c>
      <c r="E175">
        <v>46</v>
      </c>
      <c r="F175" t="s">
        <v>471</v>
      </c>
      <c r="G175" s="83">
        <v>4.1500000000000004</v>
      </c>
      <c r="H175" s="83">
        <v>19090</v>
      </c>
      <c r="I175" t="s">
        <v>1241</v>
      </c>
      <c r="J175" s="83">
        <v>0.81</v>
      </c>
      <c r="K175" s="83">
        <v>3756.82</v>
      </c>
      <c r="L175" t="s">
        <v>399</v>
      </c>
      <c r="M175">
        <v>15302.36</v>
      </c>
      <c r="N175" s="84">
        <v>7.7600000000000002E-2</v>
      </c>
    </row>
    <row r="176" spans="3:14" x14ac:dyDescent="0.25">
      <c r="C176">
        <v>58</v>
      </c>
      <c r="D176" t="s">
        <v>418</v>
      </c>
      <c r="E176">
        <v>24</v>
      </c>
      <c r="F176" t="s">
        <v>470</v>
      </c>
      <c r="G176" s="83">
        <v>5.6</v>
      </c>
      <c r="H176" s="83">
        <v>13440</v>
      </c>
      <c r="I176" t="s">
        <v>504</v>
      </c>
      <c r="J176" s="83">
        <v>1.1000000000000001</v>
      </c>
      <c r="K176" s="83">
        <v>2656.08</v>
      </c>
      <c r="L176" t="s">
        <v>399</v>
      </c>
      <c r="M176">
        <v>10767.84</v>
      </c>
      <c r="N176" s="84">
        <v>9.5699999999999993E-2</v>
      </c>
    </row>
    <row r="177" spans="3:14" x14ac:dyDescent="0.25">
      <c r="C177">
        <v>59</v>
      </c>
      <c r="D177" t="s">
        <v>482</v>
      </c>
      <c r="E177">
        <v>19</v>
      </c>
      <c r="F177" t="s">
        <v>489</v>
      </c>
      <c r="G177" s="83">
        <v>8.1999999999999993</v>
      </c>
      <c r="H177" s="83">
        <v>15580</v>
      </c>
      <c r="I177" t="s">
        <v>504</v>
      </c>
      <c r="J177" s="83">
        <v>1.35</v>
      </c>
      <c r="K177" s="83">
        <v>2577.73</v>
      </c>
      <c r="L177" t="s">
        <v>399</v>
      </c>
      <c r="M177">
        <v>12989.54</v>
      </c>
      <c r="N177" s="84">
        <v>8.3599999999999994E-2</v>
      </c>
    </row>
    <row r="178" spans="3:14" x14ac:dyDescent="0.25">
      <c r="C178">
        <v>60</v>
      </c>
      <c r="D178" t="s">
        <v>418</v>
      </c>
      <c r="E178">
        <v>27</v>
      </c>
      <c r="F178" t="s">
        <v>491</v>
      </c>
      <c r="G178" s="83">
        <v>5.2</v>
      </c>
      <c r="H178" s="83">
        <v>14040</v>
      </c>
      <c r="I178" t="s">
        <v>520</v>
      </c>
      <c r="J178" s="83">
        <v>0.59</v>
      </c>
      <c r="K178" s="83">
        <v>1611.09</v>
      </c>
      <c r="L178" t="s">
        <v>399</v>
      </c>
      <c r="M178">
        <v>12410.82</v>
      </c>
      <c r="N178" s="84">
        <v>9.2299999999999993E-2</v>
      </c>
    </row>
    <row r="179" spans="3:14" x14ac:dyDescent="0.25">
      <c r="C179">
        <v>61</v>
      </c>
      <c r="D179" t="s">
        <v>499</v>
      </c>
      <c r="E179">
        <v>49</v>
      </c>
      <c r="F179" t="s">
        <v>500</v>
      </c>
      <c r="G179" s="83">
        <v>3.55</v>
      </c>
      <c r="H179" s="83">
        <v>17395</v>
      </c>
      <c r="I179" t="s">
        <v>520</v>
      </c>
      <c r="J179" s="83">
        <v>0.57999999999999996</v>
      </c>
      <c r="K179" s="83">
        <v>2874.83</v>
      </c>
      <c r="L179" t="s">
        <v>399</v>
      </c>
      <c r="M179">
        <v>14487.34</v>
      </c>
      <c r="N179" s="84">
        <v>7.6899999999999996E-2</v>
      </c>
    </row>
    <row r="180" spans="3:14" x14ac:dyDescent="0.25">
      <c r="C180">
        <v>62</v>
      </c>
      <c r="D180" t="s">
        <v>502</v>
      </c>
      <c r="E180">
        <v>47</v>
      </c>
      <c r="F180" t="s">
        <v>503</v>
      </c>
      <c r="G180" s="83">
        <v>4.2</v>
      </c>
      <c r="H180" s="83">
        <v>19740</v>
      </c>
      <c r="I180" t="s">
        <v>530</v>
      </c>
      <c r="J180" s="83">
        <v>0.73</v>
      </c>
      <c r="K180" s="83">
        <v>3462.49</v>
      </c>
      <c r="L180" t="s">
        <v>399</v>
      </c>
      <c r="M180">
        <v>16246.02</v>
      </c>
      <c r="N180" s="84">
        <v>7.5499999999999998E-2</v>
      </c>
    </row>
    <row r="181" spans="3:14" x14ac:dyDescent="0.25">
      <c r="C181">
        <v>63</v>
      </c>
      <c r="D181" t="s">
        <v>508</v>
      </c>
      <c r="E181">
        <v>37</v>
      </c>
      <c r="F181" t="s">
        <v>509</v>
      </c>
      <c r="G181" s="83">
        <v>5.65</v>
      </c>
      <c r="H181" s="83">
        <v>20905</v>
      </c>
      <c r="I181" t="s">
        <v>541</v>
      </c>
      <c r="J181" s="83">
        <v>1.06</v>
      </c>
      <c r="K181" s="83">
        <v>3946.79</v>
      </c>
      <c r="L181" t="s">
        <v>399</v>
      </c>
      <c r="M181">
        <v>16933.419999999998</v>
      </c>
      <c r="N181" s="84">
        <v>0.1163</v>
      </c>
    </row>
    <row r="182" spans="3:14" x14ac:dyDescent="0.25">
      <c r="C182">
        <v>64</v>
      </c>
      <c r="D182" t="s">
        <v>458</v>
      </c>
      <c r="E182">
        <v>19</v>
      </c>
      <c r="F182" t="s">
        <v>544</v>
      </c>
      <c r="G182" s="83">
        <v>10.8</v>
      </c>
      <c r="H182" s="83">
        <v>20520</v>
      </c>
      <c r="I182" t="s">
        <v>545</v>
      </c>
      <c r="J182" s="83">
        <v>0</v>
      </c>
      <c r="K182" s="83">
        <v>0</v>
      </c>
      <c r="L182" t="s">
        <v>465</v>
      </c>
      <c r="M182">
        <v>20507.27</v>
      </c>
      <c r="N182" s="84">
        <v>0.11459999999999999</v>
      </c>
    </row>
    <row r="183" spans="3:14" x14ac:dyDescent="0.25">
      <c r="C183">
        <v>65</v>
      </c>
      <c r="D183" t="s">
        <v>529</v>
      </c>
      <c r="E183">
        <v>29</v>
      </c>
      <c r="F183" t="s">
        <v>530</v>
      </c>
      <c r="G183" s="83">
        <v>8</v>
      </c>
      <c r="H183" s="83">
        <v>23200</v>
      </c>
      <c r="I183" t="s">
        <v>1242</v>
      </c>
      <c r="J183" s="83">
        <v>1.54</v>
      </c>
      <c r="K183" s="83">
        <v>4485.43</v>
      </c>
      <c r="L183" t="s">
        <v>399</v>
      </c>
      <c r="M183">
        <v>18695.14</v>
      </c>
      <c r="N183" s="84">
        <v>7.4099999999999999E-2</v>
      </c>
    </row>
    <row r="184" spans="3:14" x14ac:dyDescent="0.25">
      <c r="C184">
        <v>66</v>
      </c>
      <c r="D184" t="s">
        <v>534</v>
      </c>
      <c r="E184">
        <v>17</v>
      </c>
      <c r="F184" t="s">
        <v>535</v>
      </c>
      <c r="G184" s="83">
        <v>12.95</v>
      </c>
      <c r="H184" s="83">
        <v>22015</v>
      </c>
      <c r="I184" t="s">
        <v>1243</v>
      </c>
      <c r="J184" s="83">
        <v>2.23</v>
      </c>
      <c r="K184" s="83">
        <v>3802.39</v>
      </c>
      <c r="L184" t="s">
        <v>399</v>
      </c>
      <c r="M184">
        <v>18201.22</v>
      </c>
      <c r="N184" s="84">
        <v>0.20569999999999999</v>
      </c>
    </row>
    <row r="185" spans="3:14" x14ac:dyDescent="0.25">
      <c r="C185">
        <v>67</v>
      </c>
      <c r="D185" t="s">
        <v>522</v>
      </c>
      <c r="E185">
        <v>29</v>
      </c>
      <c r="F185" t="s">
        <v>523</v>
      </c>
      <c r="G185" s="83">
        <v>7.6</v>
      </c>
      <c r="H185" s="83">
        <v>22040</v>
      </c>
      <c r="I185" t="s">
        <v>1243</v>
      </c>
      <c r="J185" s="83">
        <v>1.5</v>
      </c>
      <c r="K185" s="83">
        <v>4369.43</v>
      </c>
      <c r="L185" t="s">
        <v>399</v>
      </c>
      <c r="M185">
        <v>17651.14</v>
      </c>
      <c r="N185" s="84">
        <v>0.106</v>
      </c>
    </row>
    <row r="186" spans="3:14" x14ac:dyDescent="0.25">
      <c r="C186">
        <v>68</v>
      </c>
      <c r="D186" t="s">
        <v>505</v>
      </c>
      <c r="E186">
        <v>57</v>
      </c>
      <c r="F186" t="s">
        <v>506</v>
      </c>
      <c r="G186" s="83">
        <v>3.65</v>
      </c>
      <c r="H186" s="83">
        <v>20805</v>
      </c>
      <c r="I186" t="s">
        <v>1244</v>
      </c>
      <c r="J186" s="83">
        <v>0.73</v>
      </c>
      <c r="K186" s="83">
        <v>4199.1899999999996</v>
      </c>
      <c r="L186" t="s">
        <v>399</v>
      </c>
      <c r="M186">
        <v>16567.62</v>
      </c>
      <c r="N186" s="84">
        <v>8.2199999999999995E-2</v>
      </c>
    </row>
    <row r="187" spans="3:14" x14ac:dyDescent="0.25">
      <c r="C187">
        <v>69</v>
      </c>
      <c r="D187" t="s">
        <v>529</v>
      </c>
      <c r="E187">
        <v>26</v>
      </c>
      <c r="F187" t="s">
        <v>531</v>
      </c>
      <c r="G187" s="83">
        <v>9.1999999999999993</v>
      </c>
      <c r="H187" s="83">
        <v>23920</v>
      </c>
      <c r="I187" t="s">
        <v>574</v>
      </c>
      <c r="J187" s="83">
        <v>1.42</v>
      </c>
      <c r="K187" s="83">
        <v>3709.42</v>
      </c>
      <c r="L187" t="s">
        <v>399</v>
      </c>
      <c r="M187">
        <v>20193.16</v>
      </c>
      <c r="N187" s="84">
        <v>8.5500000000000007E-2</v>
      </c>
    </row>
    <row r="188" spans="3:14" x14ac:dyDescent="0.25">
      <c r="C188">
        <v>70</v>
      </c>
      <c r="D188" t="s">
        <v>510</v>
      </c>
      <c r="E188">
        <v>7</v>
      </c>
      <c r="F188" t="s">
        <v>511</v>
      </c>
      <c r="G188" s="83">
        <v>20</v>
      </c>
      <c r="H188" s="83">
        <v>14000</v>
      </c>
      <c r="I188" t="s">
        <v>550</v>
      </c>
      <c r="J188" s="83">
        <v>0</v>
      </c>
      <c r="K188" s="83">
        <v>0</v>
      </c>
      <c r="L188" t="s">
        <v>465</v>
      </c>
      <c r="M188">
        <v>13995.31</v>
      </c>
      <c r="N188" s="84">
        <v>0.15379999999999999</v>
      </c>
    </row>
    <row r="189" spans="3:14" x14ac:dyDescent="0.25">
      <c r="C189">
        <v>71</v>
      </c>
      <c r="D189" t="s">
        <v>510</v>
      </c>
      <c r="E189">
        <v>7</v>
      </c>
      <c r="F189" t="s">
        <v>513</v>
      </c>
      <c r="G189" s="83">
        <v>21</v>
      </c>
      <c r="H189" s="83">
        <v>14700</v>
      </c>
      <c r="I189" t="s">
        <v>550</v>
      </c>
      <c r="J189" s="83">
        <v>0</v>
      </c>
      <c r="K189" s="83">
        <v>0</v>
      </c>
      <c r="L189" t="s">
        <v>465</v>
      </c>
      <c r="M189">
        <v>14695.31</v>
      </c>
      <c r="N189" s="84">
        <v>0.15670000000000001</v>
      </c>
    </row>
    <row r="190" spans="3:14" x14ac:dyDescent="0.25">
      <c r="C190">
        <v>72</v>
      </c>
      <c r="D190" t="s">
        <v>548</v>
      </c>
      <c r="E190">
        <v>29</v>
      </c>
      <c r="F190" t="s">
        <v>549</v>
      </c>
      <c r="G190" s="83">
        <v>7.6</v>
      </c>
      <c r="H190" s="83">
        <v>22040</v>
      </c>
      <c r="I190" t="s">
        <v>550</v>
      </c>
      <c r="J190" s="83">
        <v>0</v>
      </c>
      <c r="K190" s="83">
        <v>0</v>
      </c>
      <c r="L190" t="s">
        <v>465</v>
      </c>
      <c r="M190">
        <v>22020.57</v>
      </c>
      <c r="N190" s="84">
        <v>0.43640000000000001</v>
      </c>
    </row>
    <row r="191" spans="3:14" x14ac:dyDescent="0.25">
      <c r="C191">
        <v>73</v>
      </c>
      <c r="D191" t="s">
        <v>440</v>
      </c>
      <c r="E191">
        <v>7</v>
      </c>
      <c r="F191" t="s">
        <v>551</v>
      </c>
      <c r="G191" s="83">
        <v>31.15</v>
      </c>
      <c r="H191" s="83">
        <v>21805</v>
      </c>
      <c r="I191" t="s">
        <v>550</v>
      </c>
      <c r="J191" s="83">
        <v>0</v>
      </c>
      <c r="K191" s="83">
        <v>0</v>
      </c>
      <c r="L191" t="s">
        <v>465</v>
      </c>
      <c r="M191">
        <v>21800.31</v>
      </c>
      <c r="N191" s="84">
        <v>0.33179999999999998</v>
      </c>
    </row>
    <row r="192" spans="3:14" x14ac:dyDescent="0.25">
      <c r="C192">
        <v>74</v>
      </c>
      <c r="D192" t="s">
        <v>440</v>
      </c>
      <c r="E192">
        <v>7</v>
      </c>
      <c r="F192" t="s">
        <v>552</v>
      </c>
      <c r="G192" s="83">
        <v>26.95</v>
      </c>
      <c r="H192" s="83">
        <v>18865</v>
      </c>
      <c r="I192" t="s">
        <v>550</v>
      </c>
      <c r="J192" s="83">
        <v>0</v>
      </c>
      <c r="K192" s="83">
        <v>0</v>
      </c>
      <c r="L192" t="s">
        <v>465</v>
      </c>
      <c r="M192">
        <v>18860.310000000001</v>
      </c>
      <c r="N192" s="84">
        <v>0.28960000000000002</v>
      </c>
    </row>
    <row r="193" spans="3:14" x14ac:dyDescent="0.25">
      <c r="C193">
        <v>75</v>
      </c>
      <c r="D193" t="s">
        <v>440</v>
      </c>
      <c r="E193">
        <v>10</v>
      </c>
      <c r="F193" t="s">
        <v>553</v>
      </c>
      <c r="G193" s="83">
        <v>21.15</v>
      </c>
      <c r="H193" s="83">
        <v>21150</v>
      </c>
      <c r="I193" t="s">
        <v>550</v>
      </c>
      <c r="J193" s="83">
        <v>0</v>
      </c>
      <c r="K193" s="83">
        <v>0</v>
      </c>
      <c r="L193" t="s">
        <v>465</v>
      </c>
      <c r="M193">
        <v>21143.3</v>
      </c>
      <c r="N193" s="84">
        <v>0.2253</v>
      </c>
    </row>
    <row r="194" spans="3:14" x14ac:dyDescent="0.25">
      <c r="C194">
        <v>76</v>
      </c>
      <c r="D194" t="s">
        <v>407</v>
      </c>
      <c r="E194">
        <v>6</v>
      </c>
      <c r="F194" t="s">
        <v>532</v>
      </c>
      <c r="G194" s="83">
        <v>35</v>
      </c>
      <c r="H194" s="83">
        <v>21000</v>
      </c>
      <c r="I194" t="s">
        <v>555</v>
      </c>
      <c r="J194" s="83">
        <v>5.65</v>
      </c>
      <c r="K194" s="83">
        <v>3394.02</v>
      </c>
      <c r="L194" t="s">
        <v>399</v>
      </c>
      <c r="M194">
        <v>17601.96</v>
      </c>
      <c r="N194" s="84">
        <v>8.0399999999999999E-2</v>
      </c>
    </row>
    <row r="195" spans="3:14" x14ac:dyDescent="0.25">
      <c r="C195">
        <v>77</v>
      </c>
      <c r="D195" t="s">
        <v>407</v>
      </c>
      <c r="E195">
        <v>6</v>
      </c>
      <c r="F195" t="s">
        <v>527</v>
      </c>
      <c r="G195" s="83">
        <v>33.85</v>
      </c>
      <c r="H195" s="83">
        <v>20310</v>
      </c>
      <c r="I195" t="s">
        <v>555</v>
      </c>
      <c r="J195" s="83">
        <v>4.8499999999999996</v>
      </c>
      <c r="K195" s="83">
        <v>2914.02</v>
      </c>
      <c r="L195" t="s">
        <v>399</v>
      </c>
      <c r="M195">
        <v>17391.96</v>
      </c>
      <c r="N195" s="84">
        <v>8.14E-2</v>
      </c>
    </row>
    <row r="196" spans="3:14" x14ac:dyDescent="0.25">
      <c r="C196">
        <v>78</v>
      </c>
      <c r="D196" t="s">
        <v>407</v>
      </c>
      <c r="E196">
        <v>6</v>
      </c>
      <c r="F196" t="s">
        <v>539</v>
      </c>
      <c r="G196" s="83">
        <v>35.1</v>
      </c>
      <c r="H196" s="83">
        <v>21060</v>
      </c>
      <c r="I196" t="s">
        <v>555</v>
      </c>
      <c r="J196" s="83">
        <v>6.5</v>
      </c>
      <c r="K196" s="83">
        <v>3904.02</v>
      </c>
      <c r="L196" t="s">
        <v>399</v>
      </c>
      <c r="M196">
        <v>17151.96</v>
      </c>
      <c r="N196" s="84">
        <v>7.6300000000000007E-2</v>
      </c>
    </row>
    <row r="197" spans="3:14" x14ac:dyDescent="0.25">
      <c r="C197">
        <v>79</v>
      </c>
      <c r="D197" t="s">
        <v>524</v>
      </c>
      <c r="E197">
        <v>41</v>
      </c>
      <c r="F197" t="s">
        <v>525</v>
      </c>
      <c r="G197" s="83">
        <v>5.15</v>
      </c>
      <c r="H197" s="83">
        <v>21115</v>
      </c>
      <c r="I197" t="s">
        <v>577</v>
      </c>
      <c r="J197" s="83">
        <v>1.02</v>
      </c>
      <c r="K197" s="83">
        <v>4209.47</v>
      </c>
      <c r="L197" t="s">
        <v>399</v>
      </c>
      <c r="M197">
        <v>16878.060000000001</v>
      </c>
      <c r="N197" s="84">
        <v>0.1181</v>
      </c>
    </row>
    <row r="198" spans="3:14" x14ac:dyDescent="0.25">
      <c r="C198">
        <v>80</v>
      </c>
      <c r="D198" t="s">
        <v>519</v>
      </c>
      <c r="E198">
        <v>58</v>
      </c>
      <c r="F198" t="s">
        <v>520</v>
      </c>
      <c r="G198" s="83">
        <v>3.85</v>
      </c>
      <c r="H198" s="83">
        <v>22330</v>
      </c>
      <c r="I198" t="s">
        <v>1245</v>
      </c>
      <c r="J198" s="83">
        <v>0.68</v>
      </c>
      <c r="K198" s="83">
        <v>3982.86</v>
      </c>
      <c r="L198" t="s">
        <v>399</v>
      </c>
      <c r="M198">
        <v>18308.28</v>
      </c>
      <c r="N198" s="84">
        <v>0.13070000000000001</v>
      </c>
    </row>
    <row r="199" spans="3:14" x14ac:dyDescent="0.25">
      <c r="C199">
        <v>81</v>
      </c>
      <c r="D199" t="s">
        <v>522</v>
      </c>
      <c r="E199">
        <v>41</v>
      </c>
      <c r="F199" t="s">
        <v>512</v>
      </c>
      <c r="G199" s="83">
        <v>5.65</v>
      </c>
      <c r="H199" s="83">
        <v>23165</v>
      </c>
      <c r="I199" t="s">
        <v>1246</v>
      </c>
      <c r="J199" s="83">
        <v>1.08</v>
      </c>
      <c r="K199" s="83">
        <v>4455.47</v>
      </c>
      <c r="L199" t="s">
        <v>399</v>
      </c>
      <c r="M199">
        <v>18682.060000000001</v>
      </c>
      <c r="N199" s="84">
        <v>7.3700000000000002E-2</v>
      </c>
    </row>
    <row r="200" spans="3:14" x14ac:dyDescent="0.25">
      <c r="C200">
        <v>82</v>
      </c>
      <c r="D200" t="s">
        <v>522</v>
      </c>
      <c r="E200">
        <v>36</v>
      </c>
      <c r="F200" t="s">
        <v>537</v>
      </c>
      <c r="G200" s="83">
        <v>6.35</v>
      </c>
      <c r="H200" s="83">
        <v>22860</v>
      </c>
      <c r="I200" t="s">
        <v>579</v>
      </c>
      <c r="J200" s="83">
        <v>1.22</v>
      </c>
      <c r="K200" s="83">
        <v>4416.12</v>
      </c>
      <c r="L200" t="s">
        <v>399</v>
      </c>
      <c r="M200">
        <v>18419.759999999998</v>
      </c>
      <c r="N200" s="84">
        <v>8.0399999999999999E-2</v>
      </c>
    </row>
    <row r="201" spans="3:14" x14ac:dyDescent="0.25">
      <c r="C201">
        <v>83</v>
      </c>
      <c r="D201" t="s">
        <v>524</v>
      </c>
      <c r="E201">
        <v>50</v>
      </c>
      <c r="F201" t="s">
        <v>504</v>
      </c>
      <c r="G201" s="83">
        <v>4.3499999999999996</v>
      </c>
      <c r="H201" s="83">
        <v>21750</v>
      </c>
      <c r="I201" t="s">
        <v>1247</v>
      </c>
      <c r="J201" s="83">
        <v>0.86</v>
      </c>
      <c r="K201" s="83">
        <v>4333.5</v>
      </c>
      <c r="L201" t="s">
        <v>399</v>
      </c>
      <c r="M201">
        <v>17383</v>
      </c>
      <c r="N201" s="84">
        <v>9.4899999999999998E-2</v>
      </c>
    </row>
    <row r="202" spans="3:14" x14ac:dyDescent="0.25">
      <c r="C202">
        <v>84</v>
      </c>
      <c r="D202" t="s">
        <v>522</v>
      </c>
      <c r="E202">
        <v>35</v>
      </c>
      <c r="F202" t="s">
        <v>542</v>
      </c>
      <c r="G202" s="83">
        <v>6.75</v>
      </c>
      <c r="H202" s="83">
        <v>23625</v>
      </c>
      <c r="I202" t="s">
        <v>556</v>
      </c>
      <c r="J202" s="83">
        <v>1.1299999999999999</v>
      </c>
      <c r="K202" s="83">
        <v>3978.45</v>
      </c>
      <c r="L202" t="s">
        <v>399</v>
      </c>
      <c r="M202">
        <v>19623.099999999999</v>
      </c>
      <c r="N202" s="84">
        <v>8.5300000000000001E-2</v>
      </c>
    </row>
    <row r="203" spans="3:14" x14ac:dyDescent="0.25">
      <c r="C203">
        <v>85</v>
      </c>
      <c r="D203" t="s">
        <v>508</v>
      </c>
      <c r="E203">
        <v>40</v>
      </c>
      <c r="F203" t="s">
        <v>517</v>
      </c>
      <c r="G203" s="83">
        <v>5.4</v>
      </c>
      <c r="H203" s="83">
        <v>21600</v>
      </c>
      <c r="I203" t="s">
        <v>611</v>
      </c>
      <c r="J203" s="83">
        <v>1.04</v>
      </c>
      <c r="K203" s="83">
        <v>4186.8</v>
      </c>
      <c r="L203" t="s">
        <v>399</v>
      </c>
      <c r="M203">
        <v>17386.400000000001</v>
      </c>
      <c r="N203" s="84">
        <v>0.12559999999999999</v>
      </c>
    </row>
    <row r="204" spans="3:14" x14ac:dyDescent="0.25">
      <c r="C204">
        <v>86</v>
      </c>
      <c r="D204" t="s">
        <v>508</v>
      </c>
      <c r="E204">
        <v>31</v>
      </c>
      <c r="F204" t="s">
        <v>515</v>
      </c>
      <c r="G204" s="83">
        <v>7.05</v>
      </c>
      <c r="H204" s="83">
        <v>21855</v>
      </c>
      <c r="I204" t="s">
        <v>1248</v>
      </c>
      <c r="J204" s="83">
        <v>1.29</v>
      </c>
      <c r="K204" s="83">
        <v>4019.77</v>
      </c>
      <c r="L204" t="s">
        <v>399</v>
      </c>
      <c r="M204">
        <v>17814.46</v>
      </c>
      <c r="N204" s="84">
        <v>0.15140000000000001</v>
      </c>
    </row>
    <row r="205" spans="3:14" x14ac:dyDescent="0.25">
      <c r="C205">
        <v>87</v>
      </c>
      <c r="D205" t="s">
        <v>508</v>
      </c>
      <c r="E205">
        <v>60</v>
      </c>
      <c r="F205" t="s">
        <v>518</v>
      </c>
      <c r="G205" s="83">
        <v>3.65</v>
      </c>
      <c r="H205" s="83">
        <v>21900</v>
      </c>
      <c r="I205" t="s">
        <v>1248</v>
      </c>
      <c r="J205" s="83">
        <v>0.72</v>
      </c>
      <c r="K205" s="83">
        <v>4360.2</v>
      </c>
      <c r="L205" t="s">
        <v>399</v>
      </c>
      <c r="M205">
        <v>17499.599999999999</v>
      </c>
      <c r="N205" s="84">
        <v>9.2999999999999999E-2</v>
      </c>
    </row>
    <row r="206" spans="3:14" x14ac:dyDescent="0.25">
      <c r="C206">
        <v>88</v>
      </c>
      <c r="D206" t="s">
        <v>508</v>
      </c>
      <c r="E206">
        <v>44</v>
      </c>
      <c r="F206" t="s">
        <v>507</v>
      </c>
      <c r="G206" s="83">
        <v>5.25</v>
      </c>
      <c r="H206" s="83">
        <v>23100</v>
      </c>
      <c r="I206" t="s">
        <v>1249</v>
      </c>
      <c r="J206" s="83">
        <v>1.04</v>
      </c>
      <c r="K206" s="83">
        <v>4605.4799999999996</v>
      </c>
      <c r="L206" t="s">
        <v>399</v>
      </c>
      <c r="M206">
        <v>18465.04</v>
      </c>
      <c r="N206" s="84">
        <v>9.3799999999999994E-2</v>
      </c>
    </row>
    <row r="207" spans="3:14" x14ac:dyDescent="0.25">
      <c r="C207">
        <v>89</v>
      </c>
      <c r="D207" t="s">
        <v>524</v>
      </c>
      <c r="E207">
        <v>65</v>
      </c>
      <c r="F207" t="s">
        <v>546</v>
      </c>
      <c r="G207" s="83">
        <v>3.55</v>
      </c>
      <c r="H207" s="83">
        <v>23075</v>
      </c>
      <c r="I207" t="s">
        <v>1250</v>
      </c>
      <c r="J207" s="83">
        <v>0.68</v>
      </c>
      <c r="K207" s="83">
        <v>4463.55</v>
      </c>
      <c r="L207" t="s">
        <v>399</v>
      </c>
      <c r="M207">
        <v>18567.900000000001</v>
      </c>
      <c r="N207" s="84">
        <v>7.4300000000000005E-2</v>
      </c>
    </row>
    <row r="208" spans="3:14" x14ac:dyDescent="0.25">
      <c r="C208">
        <v>90</v>
      </c>
      <c r="D208" t="s">
        <v>548</v>
      </c>
      <c r="E208">
        <v>36</v>
      </c>
      <c r="F208" t="s">
        <v>565</v>
      </c>
      <c r="G208" s="83">
        <v>6</v>
      </c>
      <c r="H208" s="83">
        <v>21600</v>
      </c>
      <c r="I208" t="s">
        <v>605</v>
      </c>
      <c r="J208" s="83">
        <v>0</v>
      </c>
      <c r="K208" s="83">
        <v>0</v>
      </c>
      <c r="L208" t="s">
        <v>465</v>
      </c>
      <c r="M208">
        <v>21575.88</v>
      </c>
      <c r="N208" s="84">
        <v>0.35249999999999998</v>
      </c>
    </row>
    <row r="209" spans="3:14" x14ac:dyDescent="0.25">
      <c r="C209">
        <v>91</v>
      </c>
      <c r="D209" t="s">
        <v>548</v>
      </c>
      <c r="E209">
        <v>39</v>
      </c>
      <c r="F209" t="s">
        <v>563</v>
      </c>
      <c r="G209" s="83">
        <v>5.8</v>
      </c>
      <c r="H209" s="83">
        <v>22620</v>
      </c>
      <c r="I209" t="s">
        <v>605</v>
      </c>
      <c r="J209" s="83">
        <v>0</v>
      </c>
      <c r="K209" s="83">
        <v>0</v>
      </c>
      <c r="L209" t="s">
        <v>465</v>
      </c>
      <c r="M209">
        <v>22593.87</v>
      </c>
      <c r="N209" s="84">
        <v>0.35759999999999997</v>
      </c>
    </row>
    <row r="210" spans="3:14" x14ac:dyDescent="0.25">
      <c r="C210">
        <v>92</v>
      </c>
      <c r="D210" t="s">
        <v>508</v>
      </c>
      <c r="E210">
        <v>55</v>
      </c>
      <c r="F210" t="s">
        <v>557</v>
      </c>
      <c r="G210" s="83">
        <v>4.6500000000000004</v>
      </c>
      <c r="H210" s="83">
        <v>25575</v>
      </c>
      <c r="I210" t="s">
        <v>575</v>
      </c>
      <c r="J210" s="83">
        <v>0.91</v>
      </c>
      <c r="K210" s="83">
        <v>5041.8500000000004</v>
      </c>
      <c r="L210" t="s">
        <v>399</v>
      </c>
      <c r="M210">
        <v>20496.3</v>
      </c>
      <c r="N210" s="84">
        <v>7.3999999999999996E-2</v>
      </c>
    </row>
    <row r="211" spans="3:14" x14ac:dyDescent="0.25">
      <c r="C211">
        <v>93</v>
      </c>
      <c r="D211" t="s">
        <v>407</v>
      </c>
      <c r="E211">
        <v>6</v>
      </c>
      <c r="F211" t="s">
        <v>554</v>
      </c>
      <c r="G211" s="83">
        <v>35.35</v>
      </c>
      <c r="H211" s="83">
        <v>21210</v>
      </c>
      <c r="I211" t="s">
        <v>582</v>
      </c>
      <c r="J211" s="83">
        <v>6.05</v>
      </c>
      <c r="K211" s="83">
        <v>3634.02</v>
      </c>
      <c r="L211" t="s">
        <v>399</v>
      </c>
      <c r="M211">
        <v>17571.96</v>
      </c>
      <c r="N211" s="84">
        <v>7.6100000000000001E-2</v>
      </c>
    </row>
    <row r="212" spans="3:14" x14ac:dyDescent="0.25">
      <c r="C212">
        <v>94</v>
      </c>
      <c r="D212" t="s">
        <v>524</v>
      </c>
      <c r="E212">
        <v>56</v>
      </c>
      <c r="F212" t="s">
        <v>567</v>
      </c>
      <c r="G212" s="83">
        <v>4.3</v>
      </c>
      <c r="H212" s="83">
        <v>24080</v>
      </c>
      <c r="I212" t="s">
        <v>583</v>
      </c>
      <c r="J212" s="83">
        <v>0.86</v>
      </c>
      <c r="K212" s="83">
        <v>4853.5200000000004</v>
      </c>
      <c r="L212" t="s">
        <v>399</v>
      </c>
      <c r="M212">
        <v>19188.96</v>
      </c>
      <c r="N212" s="84">
        <v>9.6000000000000002E-2</v>
      </c>
    </row>
    <row r="213" spans="3:14" x14ac:dyDescent="0.25">
      <c r="C213">
        <v>95</v>
      </c>
      <c r="D213" t="s">
        <v>519</v>
      </c>
      <c r="E213">
        <v>68</v>
      </c>
      <c r="F213" t="s">
        <v>550</v>
      </c>
      <c r="G213" s="83">
        <v>4.0999999999999996</v>
      </c>
      <c r="H213" s="83">
        <v>27880</v>
      </c>
      <c r="I213" t="s">
        <v>583</v>
      </c>
      <c r="J213" s="83">
        <v>0.66</v>
      </c>
      <c r="K213" s="83">
        <v>4533.5600000000004</v>
      </c>
      <c r="L213" t="s">
        <v>399</v>
      </c>
      <c r="M213">
        <v>23300.880000000001</v>
      </c>
      <c r="N213" s="84">
        <v>0.1109</v>
      </c>
    </row>
    <row r="214" spans="3:14" x14ac:dyDescent="0.25">
      <c r="C214">
        <v>96</v>
      </c>
      <c r="D214" t="s">
        <v>519</v>
      </c>
      <c r="E214">
        <v>82</v>
      </c>
      <c r="F214" t="s">
        <v>570</v>
      </c>
      <c r="G214" s="83">
        <v>3.6</v>
      </c>
      <c r="H214" s="83">
        <v>29520</v>
      </c>
      <c r="I214" t="s">
        <v>1251</v>
      </c>
      <c r="J214" s="83">
        <v>0.71</v>
      </c>
      <c r="K214" s="83">
        <v>5876.94</v>
      </c>
      <c r="L214" t="s">
        <v>399</v>
      </c>
      <c r="M214">
        <v>23588.12</v>
      </c>
      <c r="N214" s="84">
        <v>8.8800000000000004E-2</v>
      </c>
    </row>
    <row r="215" spans="3:14" x14ac:dyDescent="0.25">
      <c r="C215">
        <v>97</v>
      </c>
      <c r="D215" t="s">
        <v>524</v>
      </c>
      <c r="E215">
        <v>55</v>
      </c>
      <c r="F215" t="s">
        <v>568</v>
      </c>
      <c r="G215" s="83">
        <v>4.5999999999999996</v>
      </c>
      <c r="H215" s="83">
        <v>25300</v>
      </c>
      <c r="I215" t="s">
        <v>1252</v>
      </c>
      <c r="J215" s="83">
        <v>0.88</v>
      </c>
      <c r="K215" s="83">
        <v>4876.8500000000004</v>
      </c>
      <c r="L215" t="s">
        <v>399</v>
      </c>
      <c r="M215">
        <v>20386.3</v>
      </c>
      <c r="N215" s="84">
        <v>9.1700000000000004E-2</v>
      </c>
    </row>
    <row r="216" spans="3:14" x14ac:dyDescent="0.25">
      <c r="C216">
        <v>98</v>
      </c>
      <c r="D216" t="s">
        <v>508</v>
      </c>
      <c r="E216">
        <v>59</v>
      </c>
      <c r="F216" t="s">
        <v>561</v>
      </c>
      <c r="G216" s="83">
        <v>4.75</v>
      </c>
      <c r="H216" s="83">
        <v>28025</v>
      </c>
      <c r="I216" t="s">
        <v>1253</v>
      </c>
      <c r="J216" s="83">
        <v>0.91</v>
      </c>
      <c r="K216" s="83">
        <v>5408.53</v>
      </c>
      <c r="L216" t="s">
        <v>399</v>
      </c>
      <c r="M216">
        <v>22576.94</v>
      </c>
      <c r="N216" s="84">
        <v>8.4599999999999995E-2</v>
      </c>
    </row>
    <row r="217" spans="3:14" x14ac:dyDescent="0.25">
      <c r="C217">
        <v>99</v>
      </c>
      <c r="D217" t="s">
        <v>524</v>
      </c>
      <c r="E217">
        <v>58</v>
      </c>
      <c r="F217" t="s">
        <v>574</v>
      </c>
      <c r="G217" s="83">
        <v>4.7</v>
      </c>
      <c r="H217" s="83">
        <v>27260</v>
      </c>
      <c r="I217" t="s">
        <v>588</v>
      </c>
      <c r="J217" s="83">
        <v>0.88</v>
      </c>
      <c r="K217" s="83">
        <v>5142.8599999999997</v>
      </c>
      <c r="L217" t="s">
        <v>399</v>
      </c>
      <c r="M217">
        <v>22078.28</v>
      </c>
      <c r="N217" s="84">
        <v>8.4000000000000005E-2</v>
      </c>
    </row>
    <row r="218" spans="3:14" x14ac:dyDescent="0.25">
      <c r="C218">
        <v>100</v>
      </c>
      <c r="D218" t="s">
        <v>508</v>
      </c>
      <c r="E218">
        <v>45</v>
      </c>
      <c r="F218" t="s">
        <v>572</v>
      </c>
      <c r="G218" s="83">
        <v>6</v>
      </c>
      <c r="H218" s="83">
        <v>27000</v>
      </c>
      <c r="I218" t="s">
        <v>588</v>
      </c>
      <c r="J218" s="83">
        <v>1.18</v>
      </c>
      <c r="K218" s="83">
        <v>5340.15</v>
      </c>
      <c r="L218" t="s">
        <v>399</v>
      </c>
      <c r="M218">
        <v>21629.7</v>
      </c>
      <c r="N218" s="84">
        <v>9.8100000000000007E-2</v>
      </c>
    </row>
    <row r="219" spans="3:14" x14ac:dyDescent="0.25">
      <c r="C219">
        <v>101</v>
      </c>
      <c r="D219" t="s">
        <v>524</v>
      </c>
      <c r="E219">
        <v>55</v>
      </c>
      <c r="F219" t="s">
        <v>577</v>
      </c>
      <c r="G219" s="83">
        <v>5.15</v>
      </c>
      <c r="H219" s="83">
        <v>28325</v>
      </c>
      <c r="I219" t="s">
        <v>588</v>
      </c>
      <c r="J219" s="83">
        <v>1.01</v>
      </c>
      <c r="K219" s="83">
        <v>5591.85</v>
      </c>
      <c r="L219" t="s">
        <v>399</v>
      </c>
      <c r="M219">
        <v>22696.3</v>
      </c>
      <c r="N219" s="84">
        <v>8.6199999999999999E-2</v>
      </c>
    </row>
    <row r="220" spans="3:14" x14ac:dyDescent="0.25">
      <c r="C220">
        <v>102</v>
      </c>
      <c r="D220" t="s">
        <v>524</v>
      </c>
      <c r="E220">
        <v>66</v>
      </c>
      <c r="F220" t="s">
        <v>555</v>
      </c>
      <c r="G220" s="83">
        <v>4.3499999999999996</v>
      </c>
      <c r="H220" s="83">
        <v>28710</v>
      </c>
      <c r="I220" t="s">
        <v>1254</v>
      </c>
      <c r="J220" s="83">
        <v>0.81</v>
      </c>
      <c r="K220" s="83">
        <v>5390.22</v>
      </c>
      <c r="L220" t="s">
        <v>399</v>
      </c>
      <c r="M220">
        <v>23275.56</v>
      </c>
      <c r="N220" s="84">
        <v>7.5600000000000001E-2</v>
      </c>
    </row>
    <row r="221" spans="3:14" x14ac:dyDescent="0.25">
      <c r="C221">
        <v>103</v>
      </c>
      <c r="D221" t="s">
        <v>589</v>
      </c>
      <c r="E221">
        <v>31</v>
      </c>
      <c r="F221" t="s">
        <v>562</v>
      </c>
      <c r="G221" s="83">
        <v>10.050000000000001</v>
      </c>
      <c r="H221" s="83">
        <v>31155</v>
      </c>
      <c r="I221" t="s">
        <v>590</v>
      </c>
      <c r="J221" s="83">
        <v>12.55</v>
      </c>
      <c r="K221" s="83">
        <v>38925.769999999997</v>
      </c>
      <c r="L221" t="s">
        <v>395</v>
      </c>
      <c r="M221">
        <v>-7791.54</v>
      </c>
      <c r="N221" s="84">
        <v>-2.3900000000000001E-2</v>
      </c>
    </row>
    <row r="222" spans="3:14" x14ac:dyDescent="0.25">
      <c r="C222">
        <v>104</v>
      </c>
      <c r="D222" t="s">
        <v>589</v>
      </c>
      <c r="E222">
        <v>29</v>
      </c>
      <c r="F222" t="s">
        <v>573</v>
      </c>
      <c r="G222" s="83">
        <v>10.9</v>
      </c>
      <c r="H222" s="83">
        <v>31610</v>
      </c>
      <c r="I222" t="s">
        <v>590</v>
      </c>
      <c r="J222" s="83">
        <v>15</v>
      </c>
      <c r="K222" s="83">
        <v>43519.43</v>
      </c>
      <c r="L222" t="s">
        <v>395</v>
      </c>
      <c r="M222">
        <v>-11928.86</v>
      </c>
      <c r="N222" s="84">
        <v>-3.7699999999999997E-2</v>
      </c>
    </row>
    <row r="223" spans="3:14" x14ac:dyDescent="0.25">
      <c r="C223">
        <v>105</v>
      </c>
      <c r="D223" t="s">
        <v>589</v>
      </c>
      <c r="E223">
        <v>19</v>
      </c>
      <c r="F223" t="s">
        <v>591</v>
      </c>
      <c r="G223" s="83">
        <v>16.2</v>
      </c>
      <c r="H223" s="83">
        <v>30780</v>
      </c>
      <c r="I223" t="s">
        <v>590</v>
      </c>
      <c r="J223" s="83">
        <v>17.95</v>
      </c>
      <c r="K223" s="83">
        <v>34117.730000000003</v>
      </c>
      <c r="L223" t="s">
        <v>395</v>
      </c>
      <c r="M223">
        <v>-3350.46</v>
      </c>
      <c r="N223" s="84">
        <v>-1.78E-2</v>
      </c>
    </row>
    <row r="224" spans="3:14" x14ac:dyDescent="0.25">
      <c r="C224">
        <v>106</v>
      </c>
      <c r="D224" t="s">
        <v>589</v>
      </c>
      <c r="E224">
        <v>18</v>
      </c>
      <c r="F224" t="s">
        <v>592</v>
      </c>
      <c r="G224" s="83">
        <v>18.05</v>
      </c>
      <c r="H224" s="83">
        <v>32490</v>
      </c>
      <c r="I224" t="s">
        <v>590</v>
      </c>
      <c r="J224" s="83">
        <v>20.5</v>
      </c>
      <c r="K224" s="83">
        <v>36912.06</v>
      </c>
      <c r="L224" t="s">
        <v>395</v>
      </c>
      <c r="M224">
        <v>-4434.12</v>
      </c>
      <c r="N224" s="84">
        <v>-2.4199999999999999E-2</v>
      </c>
    </row>
    <row r="225" spans="3:14" x14ac:dyDescent="0.25">
      <c r="C225">
        <v>107</v>
      </c>
      <c r="D225" t="s">
        <v>589</v>
      </c>
      <c r="E225">
        <v>25</v>
      </c>
      <c r="F225" t="s">
        <v>593</v>
      </c>
      <c r="G225" s="83">
        <v>13.25</v>
      </c>
      <c r="H225" s="83">
        <v>33125</v>
      </c>
      <c r="I225" t="s">
        <v>590</v>
      </c>
      <c r="J225" s="83">
        <v>15.35</v>
      </c>
      <c r="K225" s="83">
        <v>38391.75</v>
      </c>
      <c r="L225" t="s">
        <v>395</v>
      </c>
      <c r="M225">
        <v>-5283.5</v>
      </c>
      <c r="N225" s="84">
        <v>-2.18E-2</v>
      </c>
    </row>
    <row r="226" spans="3:14" x14ac:dyDescent="0.25">
      <c r="C226">
        <v>108</v>
      </c>
      <c r="D226" t="s">
        <v>589</v>
      </c>
      <c r="E226">
        <v>21</v>
      </c>
      <c r="F226" t="s">
        <v>580</v>
      </c>
      <c r="G226" s="83">
        <v>16.25</v>
      </c>
      <c r="H226" s="83">
        <v>34125</v>
      </c>
      <c r="I226" t="s">
        <v>590</v>
      </c>
      <c r="J226" s="83">
        <v>23.35</v>
      </c>
      <c r="K226" s="83">
        <v>49049.07</v>
      </c>
      <c r="L226" t="s">
        <v>395</v>
      </c>
      <c r="M226">
        <v>-14938.14</v>
      </c>
      <c r="N226" s="84">
        <v>-6.54E-2</v>
      </c>
    </row>
    <row r="227" spans="3:14" x14ac:dyDescent="0.25">
      <c r="C227">
        <v>109</v>
      </c>
      <c r="D227" t="s">
        <v>589</v>
      </c>
      <c r="E227">
        <v>32</v>
      </c>
      <c r="F227" t="s">
        <v>582</v>
      </c>
      <c r="G227" s="83">
        <v>10.85</v>
      </c>
      <c r="H227" s="83">
        <v>34720</v>
      </c>
      <c r="I227" t="s">
        <v>590</v>
      </c>
      <c r="J227" s="83">
        <v>17.600000000000001</v>
      </c>
      <c r="K227" s="83">
        <v>56341.440000000002</v>
      </c>
      <c r="L227" t="s">
        <v>395</v>
      </c>
      <c r="M227">
        <v>-21642.880000000001</v>
      </c>
      <c r="N227" s="84">
        <v>-5.9299999999999999E-2</v>
      </c>
    </row>
    <row r="228" spans="3:14" x14ac:dyDescent="0.25">
      <c r="C228">
        <v>110</v>
      </c>
      <c r="D228" t="s">
        <v>529</v>
      </c>
      <c r="E228">
        <v>24</v>
      </c>
      <c r="F228" t="s">
        <v>584</v>
      </c>
      <c r="G228" s="83">
        <v>12.5</v>
      </c>
      <c r="H228" s="83">
        <v>30000</v>
      </c>
      <c r="I228" t="s">
        <v>596</v>
      </c>
      <c r="J228" s="83">
        <v>14.45</v>
      </c>
      <c r="K228" s="83">
        <v>34696.080000000002</v>
      </c>
      <c r="L228" t="s">
        <v>395</v>
      </c>
      <c r="M228">
        <v>-4712.16</v>
      </c>
      <c r="N228" s="84">
        <v>-1.4800000000000001E-2</v>
      </c>
    </row>
    <row r="229" spans="3:14" x14ac:dyDescent="0.25">
      <c r="C229">
        <v>111</v>
      </c>
      <c r="D229" t="s">
        <v>529</v>
      </c>
      <c r="E229">
        <v>25</v>
      </c>
      <c r="F229" t="s">
        <v>595</v>
      </c>
      <c r="G229" s="83">
        <v>13.8</v>
      </c>
      <c r="H229" s="83">
        <v>34500</v>
      </c>
      <c r="I229" t="s">
        <v>596</v>
      </c>
      <c r="J229" s="83">
        <v>28</v>
      </c>
      <c r="K229" s="83">
        <v>70016.75</v>
      </c>
      <c r="L229" t="s">
        <v>395</v>
      </c>
      <c r="M229">
        <v>-35533.5</v>
      </c>
      <c r="N229" s="84">
        <v>-9.7199999999999995E-2</v>
      </c>
    </row>
    <row r="230" spans="3:14" x14ac:dyDescent="0.25">
      <c r="C230">
        <v>112</v>
      </c>
      <c r="D230" t="s">
        <v>529</v>
      </c>
      <c r="E230">
        <v>23</v>
      </c>
      <c r="F230" t="s">
        <v>607</v>
      </c>
      <c r="G230" s="83">
        <v>15.45</v>
      </c>
      <c r="H230" s="83">
        <v>35535</v>
      </c>
      <c r="I230" t="s">
        <v>596</v>
      </c>
      <c r="J230" s="83">
        <v>29.5</v>
      </c>
      <c r="K230" s="83">
        <v>67865.41</v>
      </c>
      <c r="L230" t="s">
        <v>395</v>
      </c>
      <c r="M230">
        <v>-32345.82</v>
      </c>
      <c r="N230" s="84">
        <v>-9.7299999999999998E-2</v>
      </c>
    </row>
    <row r="231" spans="3:14" x14ac:dyDescent="0.25">
      <c r="C231">
        <v>113</v>
      </c>
      <c r="D231" t="s">
        <v>529</v>
      </c>
      <c r="E231">
        <v>21</v>
      </c>
      <c r="F231" t="s">
        <v>597</v>
      </c>
      <c r="G231" s="83">
        <v>16.8</v>
      </c>
      <c r="H231" s="83">
        <v>35280</v>
      </c>
      <c r="I231" t="s">
        <v>596</v>
      </c>
      <c r="J231" s="83">
        <v>32.549999999999997</v>
      </c>
      <c r="K231" s="83">
        <v>68369.070000000007</v>
      </c>
      <c r="L231" t="s">
        <v>395</v>
      </c>
      <c r="M231">
        <v>-33103.14</v>
      </c>
      <c r="N231" s="84">
        <v>-0.10639999999999999</v>
      </c>
    </row>
    <row r="232" spans="3:14" x14ac:dyDescent="0.25">
      <c r="C232">
        <v>114</v>
      </c>
      <c r="D232" t="s">
        <v>529</v>
      </c>
      <c r="E232">
        <v>26</v>
      </c>
      <c r="F232" t="s">
        <v>598</v>
      </c>
      <c r="G232" s="83">
        <v>14.05</v>
      </c>
      <c r="H232" s="83">
        <v>36530</v>
      </c>
      <c r="I232" t="s">
        <v>596</v>
      </c>
      <c r="J232" s="83">
        <v>30.95</v>
      </c>
      <c r="K232" s="83">
        <v>80487.42</v>
      </c>
      <c r="L232" t="s">
        <v>395</v>
      </c>
      <c r="M232">
        <v>-43974.84</v>
      </c>
      <c r="N232" s="84">
        <v>-0.112</v>
      </c>
    </row>
    <row r="233" spans="3:14" x14ac:dyDescent="0.25">
      <c r="C233">
        <v>115</v>
      </c>
      <c r="D233" t="s">
        <v>529</v>
      </c>
      <c r="E233">
        <v>26</v>
      </c>
      <c r="F233" t="s">
        <v>588</v>
      </c>
      <c r="G233" s="83">
        <v>14.15</v>
      </c>
      <c r="H233" s="83">
        <v>36790</v>
      </c>
      <c r="I233" t="s">
        <v>596</v>
      </c>
      <c r="J233" s="83">
        <v>26.9</v>
      </c>
      <c r="K233" s="83">
        <v>69957.42</v>
      </c>
      <c r="L233" t="s">
        <v>395</v>
      </c>
      <c r="M233">
        <v>-33184.839999999997</v>
      </c>
      <c r="N233" s="84">
        <v>-9.06E-2</v>
      </c>
    </row>
    <row r="234" spans="3:14" x14ac:dyDescent="0.25">
      <c r="C234">
        <v>116</v>
      </c>
      <c r="D234" t="s">
        <v>508</v>
      </c>
      <c r="E234">
        <v>39</v>
      </c>
      <c r="F234" t="s">
        <v>611</v>
      </c>
      <c r="G234" s="83">
        <v>7.5</v>
      </c>
      <c r="H234" s="83">
        <v>29250</v>
      </c>
      <c r="I234" t="s">
        <v>602</v>
      </c>
      <c r="J234" s="83">
        <v>1.49</v>
      </c>
      <c r="K234" s="83">
        <v>5837.13</v>
      </c>
      <c r="L234" t="s">
        <v>399</v>
      </c>
      <c r="M234">
        <v>23386.74</v>
      </c>
      <c r="N234" s="84">
        <v>0.1142</v>
      </c>
    </row>
    <row r="235" spans="3:14" x14ac:dyDescent="0.25">
      <c r="C235">
        <v>117</v>
      </c>
      <c r="D235" t="s">
        <v>524</v>
      </c>
      <c r="E235">
        <v>64</v>
      </c>
      <c r="F235" t="s">
        <v>1247</v>
      </c>
      <c r="G235" s="83">
        <v>4.55</v>
      </c>
      <c r="H235" s="83">
        <v>29120</v>
      </c>
      <c r="I235" t="s">
        <v>1255</v>
      </c>
      <c r="J235" s="83">
        <v>0.85</v>
      </c>
      <c r="K235" s="83">
        <v>5482.88</v>
      </c>
      <c r="L235" t="s">
        <v>399</v>
      </c>
      <c r="M235">
        <v>23594.240000000002</v>
      </c>
      <c r="N235" s="84">
        <v>7.46E-2</v>
      </c>
    </row>
    <row r="236" spans="3:14" x14ac:dyDescent="0.25">
      <c r="C236">
        <v>118</v>
      </c>
      <c r="D236" t="s">
        <v>581</v>
      </c>
      <c r="E236">
        <v>83</v>
      </c>
      <c r="F236" t="s">
        <v>569</v>
      </c>
      <c r="G236" s="83">
        <v>3.8</v>
      </c>
      <c r="H236" s="83">
        <v>31540</v>
      </c>
      <c r="I236" t="s">
        <v>604</v>
      </c>
      <c r="J236" s="83">
        <v>3.6</v>
      </c>
      <c r="K236" s="83">
        <v>29935.61</v>
      </c>
      <c r="L236" t="s">
        <v>395</v>
      </c>
      <c r="M236">
        <v>1548.78</v>
      </c>
      <c r="N236" s="84">
        <v>9.4000000000000004E-3</v>
      </c>
    </row>
    <row r="237" spans="3:14" x14ac:dyDescent="0.25">
      <c r="C237">
        <v>119</v>
      </c>
      <c r="D237" t="s">
        <v>581</v>
      </c>
      <c r="E237">
        <v>79</v>
      </c>
      <c r="F237" t="s">
        <v>571</v>
      </c>
      <c r="G237" s="83">
        <v>4</v>
      </c>
      <c r="H237" s="83">
        <v>31600</v>
      </c>
      <c r="I237" t="s">
        <v>604</v>
      </c>
      <c r="J237" s="83">
        <v>3.4</v>
      </c>
      <c r="K237" s="83">
        <v>26912.93</v>
      </c>
      <c r="L237" t="s">
        <v>395</v>
      </c>
      <c r="M237">
        <v>4634.1400000000003</v>
      </c>
      <c r="N237" s="84">
        <v>3.0300000000000001E-2</v>
      </c>
    </row>
    <row r="238" spans="3:14" x14ac:dyDescent="0.25">
      <c r="C238">
        <v>120</v>
      </c>
      <c r="D238" t="s">
        <v>581</v>
      </c>
      <c r="E238">
        <v>59</v>
      </c>
      <c r="F238" t="s">
        <v>603</v>
      </c>
      <c r="G238" s="83">
        <v>5.3</v>
      </c>
      <c r="H238" s="83">
        <v>31270</v>
      </c>
      <c r="I238" t="s">
        <v>604</v>
      </c>
      <c r="J238" s="83">
        <v>5.0999999999999996</v>
      </c>
      <c r="K238" s="83">
        <v>30129.53</v>
      </c>
      <c r="L238" t="s">
        <v>395</v>
      </c>
      <c r="M238">
        <v>1100.94</v>
      </c>
      <c r="N238" s="84">
        <v>0.01</v>
      </c>
    </row>
    <row r="239" spans="3:14" x14ac:dyDescent="0.25">
      <c r="C239">
        <v>121</v>
      </c>
      <c r="D239" t="s">
        <v>581</v>
      </c>
      <c r="E239">
        <v>68</v>
      </c>
      <c r="F239" t="s">
        <v>605</v>
      </c>
      <c r="G239" s="83">
        <v>4.7</v>
      </c>
      <c r="H239" s="83">
        <v>31960</v>
      </c>
      <c r="I239" t="s">
        <v>604</v>
      </c>
      <c r="J239" s="83">
        <v>4.7</v>
      </c>
      <c r="K239" s="83">
        <v>32005.56</v>
      </c>
      <c r="L239" t="s">
        <v>395</v>
      </c>
      <c r="M239">
        <v>-91.12</v>
      </c>
      <c r="N239" s="84">
        <v>-6.9999999999999999E-4</v>
      </c>
    </row>
    <row r="240" spans="3:14" x14ac:dyDescent="0.25">
      <c r="C240">
        <v>122</v>
      </c>
      <c r="D240" t="s">
        <v>581</v>
      </c>
      <c r="E240">
        <v>92</v>
      </c>
      <c r="F240" t="s">
        <v>575</v>
      </c>
      <c r="G240" s="83">
        <v>3.6</v>
      </c>
      <c r="H240" s="83">
        <v>33120</v>
      </c>
      <c r="I240" t="s">
        <v>604</v>
      </c>
      <c r="J240" s="83">
        <v>4.2</v>
      </c>
      <c r="K240" s="83">
        <v>38701.64</v>
      </c>
      <c r="L240" t="s">
        <v>395</v>
      </c>
      <c r="M240">
        <v>-5643.28</v>
      </c>
      <c r="N240" s="84">
        <v>-3.3300000000000003E-2</v>
      </c>
    </row>
    <row r="241" spans="3:14" x14ac:dyDescent="0.25">
      <c r="C241">
        <v>123</v>
      </c>
      <c r="D241" t="s">
        <v>581</v>
      </c>
      <c r="E241">
        <v>70</v>
      </c>
      <c r="F241" t="s">
        <v>578</v>
      </c>
      <c r="G241" s="83">
        <v>4.5999999999999996</v>
      </c>
      <c r="H241" s="83">
        <v>32200</v>
      </c>
      <c r="I241" t="s">
        <v>604</v>
      </c>
      <c r="J241" s="83">
        <v>5.7</v>
      </c>
      <c r="K241" s="83">
        <v>39946.9</v>
      </c>
      <c r="L241" t="s">
        <v>395</v>
      </c>
      <c r="M241">
        <v>-7793.8</v>
      </c>
      <c r="N241" s="84">
        <v>-5.4600000000000003E-2</v>
      </c>
    </row>
    <row r="242" spans="3:14" x14ac:dyDescent="0.25">
      <c r="C242">
        <v>124</v>
      </c>
      <c r="D242" t="s">
        <v>581</v>
      </c>
      <c r="E242">
        <v>98</v>
      </c>
      <c r="F242" t="s">
        <v>606</v>
      </c>
      <c r="G242" s="83">
        <v>3.6</v>
      </c>
      <c r="H242" s="83">
        <v>35280</v>
      </c>
      <c r="I242" t="s">
        <v>604</v>
      </c>
      <c r="J242" s="83">
        <v>6.2</v>
      </c>
      <c r="K242" s="83">
        <v>60825.66</v>
      </c>
      <c r="L242" t="s">
        <v>395</v>
      </c>
      <c r="M242">
        <v>-25611.32</v>
      </c>
      <c r="N242" s="84">
        <v>-0.1167</v>
      </c>
    </row>
    <row r="243" spans="3:14" x14ac:dyDescent="0.25">
      <c r="C243">
        <v>125</v>
      </c>
      <c r="D243" t="s">
        <v>396</v>
      </c>
      <c r="E243">
        <v>43</v>
      </c>
      <c r="F243" t="s">
        <v>587</v>
      </c>
      <c r="G243" s="83">
        <v>6.1</v>
      </c>
      <c r="H243" s="83">
        <v>26230</v>
      </c>
      <c r="I243" t="s">
        <v>643</v>
      </c>
      <c r="J243" s="83">
        <v>1.2</v>
      </c>
      <c r="K243" s="83">
        <v>5188.8100000000004</v>
      </c>
      <c r="L243" t="s">
        <v>399</v>
      </c>
      <c r="M243">
        <v>21012.38</v>
      </c>
      <c r="N243" s="84">
        <v>7.6499999999999999E-2</v>
      </c>
    </row>
    <row r="244" spans="3:14" x14ac:dyDescent="0.25">
      <c r="C244">
        <v>126</v>
      </c>
      <c r="D244" t="s">
        <v>548</v>
      </c>
      <c r="E244">
        <v>38</v>
      </c>
      <c r="F244" t="s">
        <v>613</v>
      </c>
      <c r="G244" s="83">
        <v>8</v>
      </c>
      <c r="H244" s="83">
        <v>30400</v>
      </c>
      <c r="I244" t="s">
        <v>614</v>
      </c>
      <c r="J244" s="83">
        <v>0.6</v>
      </c>
      <c r="K244" s="83">
        <v>2305.46</v>
      </c>
      <c r="L244" t="s">
        <v>399</v>
      </c>
      <c r="M244">
        <v>28069.08</v>
      </c>
      <c r="N244" s="84">
        <v>0.33579999999999999</v>
      </c>
    </row>
    <row r="245" spans="3:14" x14ac:dyDescent="0.25">
      <c r="C245">
        <v>127</v>
      </c>
      <c r="D245" t="s">
        <v>615</v>
      </c>
      <c r="E245">
        <v>8</v>
      </c>
      <c r="F245" t="s">
        <v>616</v>
      </c>
      <c r="G245" s="83">
        <v>38.5</v>
      </c>
      <c r="H245" s="83">
        <v>30800</v>
      </c>
      <c r="I245" t="s">
        <v>614</v>
      </c>
      <c r="J245" s="83">
        <v>0.9</v>
      </c>
      <c r="K245" s="83">
        <v>725.36</v>
      </c>
      <c r="L245" t="s">
        <v>399</v>
      </c>
      <c r="M245">
        <v>30069.279999999999</v>
      </c>
      <c r="N245" s="84">
        <v>0.4345</v>
      </c>
    </row>
    <row r="246" spans="3:14" x14ac:dyDescent="0.25">
      <c r="C246">
        <v>128</v>
      </c>
      <c r="D246" t="s">
        <v>396</v>
      </c>
      <c r="E246">
        <v>43</v>
      </c>
      <c r="F246" t="s">
        <v>608</v>
      </c>
      <c r="G246" s="83">
        <v>6.4</v>
      </c>
      <c r="H246" s="83">
        <v>27520</v>
      </c>
      <c r="I246" t="s">
        <v>618</v>
      </c>
      <c r="J246" s="83">
        <v>1.18</v>
      </c>
      <c r="K246" s="83">
        <v>5102.8100000000004</v>
      </c>
      <c r="L246" t="s">
        <v>399</v>
      </c>
      <c r="M246">
        <v>22388.38</v>
      </c>
      <c r="N246" s="84">
        <v>7.8799999999999995E-2</v>
      </c>
    </row>
    <row r="247" spans="3:14" x14ac:dyDescent="0.25">
      <c r="C247">
        <v>129</v>
      </c>
      <c r="D247" t="s">
        <v>524</v>
      </c>
      <c r="E247">
        <v>51</v>
      </c>
      <c r="F247" t="s">
        <v>1250</v>
      </c>
      <c r="G247" s="83">
        <v>6.1</v>
      </c>
      <c r="H247" s="83">
        <v>31110</v>
      </c>
      <c r="I247" t="s">
        <v>620</v>
      </c>
      <c r="J247" s="83">
        <v>1.1599999999999999</v>
      </c>
      <c r="K247" s="83">
        <v>5950.17</v>
      </c>
      <c r="L247" t="s">
        <v>399</v>
      </c>
      <c r="M247">
        <v>25125.66</v>
      </c>
      <c r="N247" s="84">
        <v>0.1007</v>
      </c>
    </row>
    <row r="248" spans="3:14" x14ac:dyDescent="0.25">
      <c r="C248">
        <v>130</v>
      </c>
      <c r="D248" t="s">
        <v>548</v>
      </c>
      <c r="E248">
        <v>39</v>
      </c>
      <c r="F248" t="s">
        <v>618</v>
      </c>
      <c r="G248" s="83">
        <v>8.5</v>
      </c>
      <c r="H248" s="83">
        <v>33150</v>
      </c>
      <c r="I248" t="s">
        <v>620</v>
      </c>
      <c r="J248" s="83">
        <v>0.5</v>
      </c>
      <c r="K248" s="83">
        <v>1976.13</v>
      </c>
      <c r="L248" t="s">
        <v>399</v>
      </c>
      <c r="M248">
        <v>31147.74</v>
      </c>
      <c r="N248" s="84">
        <v>0.3715</v>
      </c>
    </row>
    <row r="249" spans="3:14" x14ac:dyDescent="0.25">
      <c r="C249">
        <v>131</v>
      </c>
      <c r="D249" t="s">
        <v>519</v>
      </c>
      <c r="E249">
        <v>80</v>
      </c>
      <c r="F249" t="s">
        <v>604</v>
      </c>
      <c r="G249" s="83">
        <v>3.6</v>
      </c>
      <c r="H249" s="83">
        <v>28800</v>
      </c>
      <c r="I249" t="s">
        <v>622</v>
      </c>
      <c r="J249" s="83">
        <v>4.95</v>
      </c>
      <c r="K249" s="83">
        <v>39653.599999999999</v>
      </c>
      <c r="L249" t="s">
        <v>623</v>
      </c>
      <c r="M249">
        <v>-10907.2</v>
      </c>
      <c r="N249" s="84">
        <v>-3.5499999999999997E-2</v>
      </c>
    </row>
    <row r="250" spans="3:14" x14ac:dyDescent="0.25">
      <c r="C250">
        <v>132</v>
      </c>
      <c r="D250" t="s">
        <v>508</v>
      </c>
      <c r="E250">
        <v>50</v>
      </c>
      <c r="F250" t="s">
        <v>621</v>
      </c>
      <c r="G250" s="83">
        <v>5.9</v>
      </c>
      <c r="H250" s="83">
        <v>29500</v>
      </c>
      <c r="I250" t="s">
        <v>622</v>
      </c>
      <c r="J250" s="83">
        <v>10.15</v>
      </c>
      <c r="K250" s="83">
        <v>50783.5</v>
      </c>
      <c r="L250" t="s">
        <v>623</v>
      </c>
      <c r="M250">
        <v>-21317</v>
      </c>
      <c r="N250" s="84">
        <v>-6.6500000000000004E-2</v>
      </c>
    </row>
    <row r="251" spans="3:14" x14ac:dyDescent="0.25">
      <c r="C251">
        <v>133</v>
      </c>
      <c r="D251" t="s">
        <v>635</v>
      </c>
      <c r="E251">
        <v>12</v>
      </c>
      <c r="F251" t="s">
        <v>628</v>
      </c>
      <c r="G251" s="83">
        <v>28.8</v>
      </c>
      <c r="H251" s="83">
        <v>34560</v>
      </c>
      <c r="I251" t="s">
        <v>636</v>
      </c>
      <c r="J251" s="83">
        <v>1.45</v>
      </c>
      <c r="K251" s="83">
        <v>1748.04</v>
      </c>
      <c r="L251" t="s">
        <v>399</v>
      </c>
      <c r="M251">
        <v>32803.919999999998</v>
      </c>
      <c r="N251" s="84">
        <v>0.25740000000000002</v>
      </c>
    </row>
    <row r="252" spans="3:14" x14ac:dyDescent="0.25">
      <c r="C252">
        <v>134</v>
      </c>
      <c r="D252" t="s">
        <v>635</v>
      </c>
      <c r="E252">
        <v>13</v>
      </c>
      <c r="F252" t="s">
        <v>637</v>
      </c>
      <c r="G252" s="83">
        <v>25.8</v>
      </c>
      <c r="H252" s="83">
        <v>33540</v>
      </c>
      <c r="I252" t="s">
        <v>636</v>
      </c>
      <c r="J252" s="83">
        <v>1.1499999999999999</v>
      </c>
      <c r="K252" s="83">
        <v>1503.71</v>
      </c>
      <c r="L252" t="s">
        <v>399</v>
      </c>
      <c r="M252">
        <v>32027.58</v>
      </c>
      <c r="N252" s="84">
        <v>0.2364</v>
      </c>
    </row>
    <row r="253" spans="3:14" x14ac:dyDescent="0.25">
      <c r="C253">
        <v>135</v>
      </c>
      <c r="D253" t="s">
        <v>635</v>
      </c>
      <c r="E253">
        <v>16</v>
      </c>
      <c r="F253" t="s">
        <v>638</v>
      </c>
      <c r="G253" s="83">
        <v>21.6</v>
      </c>
      <c r="H253" s="83">
        <v>34560</v>
      </c>
      <c r="I253" t="s">
        <v>636</v>
      </c>
      <c r="J253" s="83">
        <v>0.9</v>
      </c>
      <c r="K253" s="83">
        <v>1450.72</v>
      </c>
      <c r="L253" t="s">
        <v>399</v>
      </c>
      <c r="M253">
        <v>33098.559999999998</v>
      </c>
      <c r="N253" s="84">
        <v>0.2001</v>
      </c>
    </row>
    <row r="254" spans="3:14" x14ac:dyDescent="0.25">
      <c r="C254">
        <v>136</v>
      </c>
      <c r="D254" t="s">
        <v>635</v>
      </c>
      <c r="E254">
        <v>13</v>
      </c>
      <c r="F254" t="s">
        <v>639</v>
      </c>
      <c r="G254" s="83">
        <v>25.5</v>
      </c>
      <c r="H254" s="83">
        <v>33150</v>
      </c>
      <c r="I254" t="s">
        <v>640</v>
      </c>
      <c r="J254" s="83">
        <v>0.35</v>
      </c>
      <c r="K254" s="83">
        <v>463.71</v>
      </c>
      <c r="L254" t="s">
        <v>399</v>
      </c>
      <c r="M254">
        <v>32677.58</v>
      </c>
      <c r="N254" s="84">
        <v>0.24049999999999999</v>
      </c>
    </row>
    <row r="255" spans="3:14" x14ac:dyDescent="0.25">
      <c r="C255">
        <v>137</v>
      </c>
      <c r="D255" t="s">
        <v>635</v>
      </c>
      <c r="E255">
        <v>12</v>
      </c>
      <c r="F255" t="s">
        <v>632</v>
      </c>
      <c r="G255" s="83">
        <v>27.6</v>
      </c>
      <c r="H255" s="83">
        <v>33120</v>
      </c>
      <c r="I255" t="s">
        <v>647</v>
      </c>
      <c r="J255" s="83">
        <v>0</v>
      </c>
      <c r="K255" s="83">
        <v>0</v>
      </c>
      <c r="L255" t="s">
        <v>465</v>
      </c>
      <c r="M255">
        <v>33111.96</v>
      </c>
      <c r="N255" s="84">
        <v>0.25690000000000002</v>
      </c>
    </row>
    <row r="256" spans="3:14" x14ac:dyDescent="0.25">
      <c r="C256">
        <v>138</v>
      </c>
      <c r="D256" t="s">
        <v>635</v>
      </c>
      <c r="E256">
        <v>13</v>
      </c>
      <c r="F256" t="s">
        <v>648</v>
      </c>
      <c r="G256" s="83">
        <v>26</v>
      </c>
      <c r="H256" s="83">
        <v>33800</v>
      </c>
      <c r="I256" t="s">
        <v>647</v>
      </c>
      <c r="J256" s="83">
        <v>0</v>
      </c>
      <c r="K256" s="83">
        <v>0</v>
      </c>
      <c r="L256" t="s">
        <v>465</v>
      </c>
      <c r="M256">
        <v>33791.29</v>
      </c>
      <c r="N256" s="84">
        <v>0.24990000000000001</v>
      </c>
    </row>
    <row r="257" spans="3:14" x14ac:dyDescent="0.25">
      <c r="C257">
        <v>139</v>
      </c>
      <c r="D257" t="s">
        <v>524</v>
      </c>
      <c r="E257">
        <v>69</v>
      </c>
      <c r="F257" t="s">
        <v>594</v>
      </c>
      <c r="G257" s="83">
        <v>5.3</v>
      </c>
      <c r="H257" s="83">
        <v>36570</v>
      </c>
      <c r="I257" t="s">
        <v>654</v>
      </c>
      <c r="J257" s="83">
        <v>1.06</v>
      </c>
      <c r="K257" s="83">
        <v>7360.23</v>
      </c>
      <c r="L257" t="s">
        <v>399</v>
      </c>
      <c r="M257">
        <v>29163.54</v>
      </c>
      <c r="N257" s="84">
        <v>7.5899999999999995E-2</v>
      </c>
    </row>
    <row r="258" spans="3:14" x14ac:dyDescent="0.25">
      <c r="C258">
        <v>140</v>
      </c>
      <c r="D258" t="s">
        <v>524</v>
      </c>
      <c r="E258">
        <v>53</v>
      </c>
      <c r="F258" t="s">
        <v>590</v>
      </c>
      <c r="G258" s="83">
        <v>6.15</v>
      </c>
      <c r="H258" s="83">
        <v>32595</v>
      </c>
      <c r="I258" t="s">
        <v>654</v>
      </c>
      <c r="J258" s="83">
        <v>1.23</v>
      </c>
      <c r="K258" s="83">
        <v>6554.51</v>
      </c>
      <c r="L258" t="s">
        <v>399</v>
      </c>
      <c r="M258">
        <v>26004.98</v>
      </c>
      <c r="N258" s="84">
        <v>8.3400000000000002E-2</v>
      </c>
    </row>
    <row r="259" spans="3:14" x14ac:dyDescent="0.25">
      <c r="C259">
        <v>141</v>
      </c>
      <c r="D259" t="s">
        <v>524</v>
      </c>
      <c r="E259">
        <v>56</v>
      </c>
      <c r="F259" t="s">
        <v>602</v>
      </c>
      <c r="G259" s="83">
        <v>5.65</v>
      </c>
      <c r="H259" s="83">
        <v>31640</v>
      </c>
      <c r="I259" t="s">
        <v>657</v>
      </c>
      <c r="J259" s="83">
        <v>1.1000000000000001</v>
      </c>
      <c r="K259" s="83">
        <v>6197.52</v>
      </c>
      <c r="L259" t="s">
        <v>399</v>
      </c>
      <c r="M259">
        <v>25404.959999999999</v>
      </c>
      <c r="N259" s="84">
        <v>7.5200000000000003E-2</v>
      </c>
    </row>
    <row r="260" spans="3:14" x14ac:dyDescent="0.25">
      <c r="C260">
        <v>142</v>
      </c>
      <c r="D260" t="s">
        <v>581</v>
      </c>
      <c r="E260">
        <v>56</v>
      </c>
      <c r="F260" t="s">
        <v>617</v>
      </c>
      <c r="G260" s="83">
        <v>5.3</v>
      </c>
      <c r="H260" s="83">
        <v>29680</v>
      </c>
      <c r="I260" t="s">
        <v>657</v>
      </c>
      <c r="J260" s="83">
        <v>1.05</v>
      </c>
      <c r="K260" s="83">
        <v>5917.52</v>
      </c>
      <c r="L260" t="s">
        <v>399</v>
      </c>
      <c r="M260">
        <v>23724.959999999999</v>
      </c>
      <c r="N260" s="84">
        <v>0.19520000000000001</v>
      </c>
    </row>
    <row r="261" spans="3:14" x14ac:dyDescent="0.25">
      <c r="C261">
        <v>143</v>
      </c>
      <c r="D261" t="s">
        <v>581</v>
      </c>
      <c r="E261">
        <v>58</v>
      </c>
      <c r="F261" t="s">
        <v>619</v>
      </c>
      <c r="G261" s="83">
        <v>5.0999999999999996</v>
      </c>
      <c r="H261" s="83">
        <v>29580</v>
      </c>
      <c r="I261" t="s">
        <v>1256</v>
      </c>
      <c r="J261" s="83">
        <v>0.95</v>
      </c>
      <c r="K261" s="83">
        <v>5548.86</v>
      </c>
      <c r="L261" t="s">
        <v>399</v>
      </c>
      <c r="M261">
        <v>23992.28</v>
      </c>
      <c r="N261" s="84">
        <v>0.1918</v>
      </c>
    </row>
    <row r="262" spans="3:14" x14ac:dyDescent="0.25">
      <c r="C262">
        <v>144</v>
      </c>
      <c r="D262" t="s">
        <v>589</v>
      </c>
      <c r="E262">
        <v>24</v>
      </c>
      <c r="F262" t="s">
        <v>643</v>
      </c>
      <c r="G262" s="83">
        <v>12.9</v>
      </c>
      <c r="H262" s="83">
        <v>30960</v>
      </c>
      <c r="I262" t="s">
        <v>1257</v>
      </c>
      <c r="J262" s="83">
        <v>1.92</v>
      </c>
      <c r="K262" s="83">
        <v>4624.08</v>
      </c>
      <c r="L262" t="s">
        <v>399</v>
      </c>
      <c r="M262">
        <v>26319.84</v>
      </c>
      <c r="N262" s="84">
        <v>9.3700000000000006E-2</v>
      </c>
    </row>
    <row r="263" spans="3:14" x14ac:dyDescent="0.25">
      <c r="C263">
        <v>145</v>
      </c>
      <c r="D263" t="s">
        <v>589</v>
      </c>
      <c r="E263">
        <v>19</v>
      </c>
      <c r="F263" t="s">
        <v>645</v>
      </c>
      <c r="G263" s="83">
        <v>15.4</v>
      </c>
      <c r="H263" s="83">
        <v>29260</v>
      </c>
      <c r="I263" t="s">
        <v>1257</v>
      </c>
      <c r="J263" s="83">
        <v>2.21</v>
      </c>
      <c r="K263" s="83">
        <v>4211.7299999999996</v>
      </c>
      <c r="L263" t="s">
        <v>399</v>
      </c>
      <c r="M263">
        <v>25035.54</v>
      </c>
      <c r="N263" s="84">
        <v>0.11020000000000001</v>
      </c>
    </row>
    <row r="264" spans="3:14" x14ac:dyDescent="0.25">
      <c r="C264">
        <v>146</v>
      </c>
      <c r="D264" t="s">
        <v>589</v>
      </c>
      <c r="E264">
        <v>25</v>
      </c>
      <c r="F264" t="s">
        <v>641</v>
      </c>
      <c r="G264" s="83">
        <v>11.95</v>
      </c>
      <c r="H264" s="83">
        <v>29875</v>
      </c>
      <c r="I264" t="s">
        <v>1257</v>
      </c>
      <c r="J264" s="83">
        <v>1.59</v>
      </c>
      <c r="K264" s="83">
        <v>3991.75</v>
      </c>
      <c r="L264" t="s">
        <v>399</v>
      </c>
      <c r="M264">
        <v>25866.5</v>
      </c>
      <c r="N264" s="84">
        <v>9.1499999999999998E-2</v>
      </c>
    </row>
    <row r="265" spans="3:14" x14ac:dyDescent="0.25">
      <c r="C265">
        <v>147</v>
      </c>
      <c r="D265" t="s">
        <v>589</v>
      </c>
      <c r="E265">
        <v>24</v>
      </c>
      <c r="F265" t="s">
        <v>646</v>
      </c>
      <c r="G265" s="83">
        <v>12.85</v>
      </c>
      <c r="H265" s="83">
        <v>30840</v>
      </c>
      <c r="I265" t="s">
        <v>1257</v>
      </c>
      <c r="J265" s="83">
        <v>1.35</v>
      </c>
      <c r="K265" s="83">
        <v>3256.08</v>
      </c>
      <c r="L265" t="s">
        <v>399</v>
      </c>
      <c r="M265">
        <v>27567.84</v>
      </c>
      <c r="N265" s="84">
        <v>9.4E-2</v>
      </c>
    </row>
    <row r="266" spans="3:14" x14ac:dyDescent="0.25">
      <c r="C266">
        <v>148</v>
      </c>
      <c r="D266" t="s">
        <v>589</v>
      </c>
      <c r="E266">
        <v>23</v>
      </c>
      <c r="F266" t="s">
        <v>614</v>
      </c>
      <c r="G266" s="83">
        <v>14.15</v>
      </c>
      <c r="H266" s="83">
        <v>32545</v>
      </c>
      <c r="I266" t="s">
        <v>1257</v>
      </c>
      <c r="J266" s="83">
        <v>1.53</v>
      </c>
      <c r="K266" s="83">
        <v>3534.41</v>
      </c>
      <c r="L266" t="s">
        <v>399</v>
      </c>
      <c r="M266">
        <v>28995.18</v>
      </c>
      <c r="N266" s="84">
        <v>0.1002</v>
      </c>
    </row>
    <row r="267" spans="3:14" x14ac:dyDescent="0.25">
      <c r="C267">
        <v>149</v>
      </c>
      <c r="D267" t="s">
        <v>589</v>
      </c>
      <c r="E267">
        <v>22</v>
      </c>
      <c r="F267" t="s">
        <v>649</v>
      </c>
      <c r="G267" s="83">
        <v>14.9</v>
      </c>
      <c r="H267" s="83">
        <v>32780</v>
      </c>
      <c r="I267" t="s">
        <v>1257</v>
      </c>
      <c r="J267" s="83">
        <v>2.52</v>
      </c>
      <c r="K267" s="83">
        <v>5558.74</v>
      </c>
      <c r="L267" t="s">
        <v>399</v>
      </c>
      <c r="M267">
        <v>27206.52</v>
      </c>
      <c r="N267" s="84">
        <v>9.8900000000000002E-2</v>
      </c>
    </row>
    <row r="268" spans="3:14" x14ac:dyDescent="0.25">
      <c r="C268">
        <v>150</v>
      </c>
      <c r="D268" t="s">
        <v>589</v>
      </c>
      <c r="E268">
        <v>24</v>
      </c>
      <c r="F268" t="s">
        <v>620</v>
      </c>
      <c r="G268" s="83">
        <v>14.15</v>
      </c>
      <c r="H268" s="83">
        <v>33960</v>
      </c>
      <c r="I268" t="s">
        <v>1257</v>
      </c>
      <c r="J268" s="83">
        <v>2.76</v>
      </c>
      <c r="K268" s="83">
        <v>6640.08</v>
      </c>
      <c r="L268" t="s">
        <v>399</v>
      </c>
      <c r="M268">
        <v>27303.84</v>
      </c>
      <c r="N268" s="84">
        <v>8.6900000000000005E-2</v>
      </c>
    </row>
    <row r="269" spans="3:14" x14ac:dyDescent="0.25">
      <c r="C269">
        <v>151</v>
      </c>
      <c r="D269" t="s">
        <v>581</v>
      </c>
      <c r="E269">
        <v>58</v>
      </c>
      <c r="F269" t="s">
        <v>624</v>
      </c>
      <c r="G269" s="83">
        <v>5.2</v>
      </c>
      <c r="H269" s="83">
        <v>30160</v>
      </c>
      <c r="I269" t="s">
        <v>658</v>
      </c>
      <c r="J269" s="83">
        <v>1</v>
      </c>
      <c r="K269" s="83">
        <v>5838.86</v>
      </c>
      <c r="L269" t="s">
        <v>399</v>
      </c>
      <c r="M269">
        <v>24282.28</v>
      </c>
      <c r="N269" s="84">
        <v>0.1784</v>
      </c>
    </row>
    <row r="270" spans="3:14" x14ac:dyDescent="0.25">
      <c r="C270">
        <v>152</v>
      </c>
      <c r="D270" t="s">
        <v>581</v>
      </c>
      <c r="E270">
        <v>60</v>
      </c>
      <c r="F270" t="s">
        <v>626</v>
      </c>
      <c r="G270" s="83">
        <v>5</v>
      </c>
      <c r="H270" s="83">
        <v>30000</v>
      </c>
      <c r="I270" t="s">
        <v>658</v>
      </c>
      <c r="J270" s="83">
        <v>0.95</v>
      </c>
      <c r="K270" s="83">
        <v>5740.2</v>
      </c>
      <c r="L270" t="s">
        <v>399</v>
      </c>
      <c r="M270">
        <v>24219.599999999999</v>
      </c>
      <c r="N270" s="84">
        <v>0.17299999999999999</v>
      </c>
    </row>
    <row r="271" spans="3:14" x14ac:dyDescent="0.25">
      <c r="C271">
        <v>153</v>
      </c>
      <c r="D271" t="s">
        <v>581</v>
      </c>
      <c r="E271">
        <v>61</v>
      </c>
      <c r="F271" t="s">
        <v>629</v>
      </c>
      <c r="G271" s="83">
        <v>5</v>
      </c>
      <c r="H271" s="83">
        <v>30500</v>
      </c>
      <c r="I271" t="s">
        <v>660</v>
      </c>
      <c r="J271" s="83">
        <v>1</v>
      </c>
      <c r="K271" s="83">
        <v>6140.87</v>
      </c>
      <c r="L271" t="s">
        <v>399</v>
      </c>
      <c r="M271">
        <v>24318.26</v>
      </c>
      <c r="N271" s="84">
        <v>0.16389999999999999</v>
      </c>
    </row>
    <row r="272" spans="3:14" x14ac:dyDescent="0.25">
      <c r="C272">
        <v>154</v>
      </c>
      <c r="D272" t="s">
        <v>548</v>
      </c>
      <c r="E272">
        <v>41</v>
      </c>
      <c r="F272" t="s">
        <v>659</v>
      </c>
      <c r="G272" s="83">
        <v>8.1</v>
      </c>
      <c r="H272" s="83">
        <v>33210</v>
      </c>
      <c r="I272" t="s">
        <v>660</v>
      </c>
      <c r="J272" s="83">
        <v>0.2</v>
      </c>
      <c r="K272" s="83">
        <v>847.47</v>
      </c>
      <c r="L272" t="s">
        <v>399</v>
      </c>
      <c r="M272">
        <v>32335.06</v>
      </c>
      <c r="N272" s="84">
        <v>0.36009999999999998</v>
      </c>
    </row>
    <row r="273" spans="3:14" x14ac:dyDescent="0.25">
      <c r="C273">
        <v>155</v>
      </c>
      <c r="D273" t="s">
        <v>581</v>
      </c>
      <c r="E273">
        <v>60</v>
      </c>
      <c r="F273" t="s">
        <v>609</v>
      </c>
      <c r="G273" s="83">
        <v>5.0999999999999996</v>
      </c>
      <c r="H273" s="83">
        <v>30600</v>
      </c>
      <c r="I273" t="s">
        <v>662</v>
      </c>
      <c r="J273" s="83">
        <v>0.9</v>
      </c>
      <c r="K273" s="83">
        <v>5440.2</v>
      </c>
      <c r="L273" t="s">
        <v>399</v>
      </c>
      <c r="M273">
        <v>25119.599999999999</v>
      </c>
      <c r="N273" s="84">
        <v>0.1681</v>
      </c>
    </row>
    <row r="274" spans="3:14" x14ac:dyDescent="0.25">
      <c r="C274">
        <v>156</v>
      </c>
      <c r="D274" t="s">
        <v>581</v>
      </c>
      <c r="E274">
        <v>58</v>
      </c>
      <c r="F274" t="s">
        <v>630</v>
      </c>
      <c r="G274" s="83">
        <v>5.3</v>
      </c>
      <c r="H274" s="83">
        <v>30740</v>
      </c>
      <c r="I274" t="s">
        <v>662</v>
      </c>
      <c r="J274" s="83">
        <v>0.95</v>
      </c>
      <c r="K274" s="83">
        <v>5548.86</v>
      </c>
      <c r="L274" t="s">
        <v>399</v>
      </c>
      <c r="M274">
        <v>25152.28</v>
      </c>
      <c r="N274" s="84">
        <v>0.17330000000000001</v>
      </c>
    </row>
    <row r="275" spans="3:14" x14ac:dyDescent="0.25">
      <c r="C275">
        <v>157</v>
      </c>
      <c r="D275" t="s">
        <v>524</v>
      </c>
      <c r="E275">
        <v>53</v>
      </c>
      <c r="F275" t="s">
        <v>631</v>
      </c>
      <c r="G275" s="83">
        <v>5.75</v>
      </c>
      <c r="H275" s="83">
        <v>30475</v>
      </c>
      <c r="I275" t="s">
        <v>662</v>
      </c>
      <c r="J275" s="83">
        <v>1.1299999999999999</v>
      </c>
      <c r="K275" s="83">
        <v>6024.51</v>
      </c>
      <c r="L275" t="s">
        <v>399</v>
      </c>
      <c r="M275">
        <v>24414.98</v>
      </c>
      <c r="N275" s="84">
        <v>7.3999999999999996E-2</v>
      </c>
    </row>
    <row r="276" spans="3:14" x14ac:dyDescent="0.25">
      <c r="C276">
        <v>158</v>
      </c>
      <c r="D276" t="s">
        <v>529</v>
      </c>
      <c r="E276">
        <v>22</v>
      </c>
      <c r="F276" t="s">
        <v>633</v>
      </c>
      <c r="G276" s="83">
        <v>14.25</v>
      </c>
      <c r="H276" s="83">
        <v>31350</v>
      </c>
      <c r="I276" t="s">
        <v>1258</v>
      </c>
      <c r="J276" s="83">
        <v>2.75</v>
      </c>
      <c r="K276" s="83">
        <v>6064.74</v>
      </c>
      <c r="L276" t="s">
        <v>399</v>
      </c>
      <c r="M276">
        <v>25270.52</v>
      </c>
      <c r="N276" s="84">
        <v>7.6200000000000004E-2</v>
      </c>
    </row>
    <row r="277" spans="3:14" x14ac:dyDescent="0.25">
      <c r="C277">
        <v>159</v>
      </c>
      <c r="D277" t="s">
        <v>529</v>
      </c>
      <c r="E277">
        <v>21</v>
      </c>
      <c r="F277" t="s">
        <v>653</v>
      </c>
      <c r="G277" s="83">
        <v>15</v>
      </c>
      <c r="H277" s="83">
        <v>31500</v>
      </c>
      <c r="I277" t="s">
        <v>666</v>
      </c>
      <c r="J277" s="83">
        <v>3</v>
      </c>
      <c r="K277" s="83">
        <v>6314.07</v>
      </c>
      <c r="L277" t="s">
        <v>399</v>
      </c>
      <c r="M277">
        <v>25171.86</v>
      </c>
      <c r="N277" s="84">
        <v>7.4899999999999994E-2</v>
      </c>
    </row>
    <row r="278" spans="3:14" x14ac:dyDescent="0.25">
      <c r="C278">
        <v>160</v>
      </c>
      <c r="D278" t="s">
        <v>669</v>
      </c>
      <c r="E278">
        <v>14</v>
      </c>
      <c r="F278" t="s">
        <v>670</v>
      </c>
      <c r="G278" s="83">
        <v>29.4</v>
      </c>
      <c r="H278" s="83">
        <v>41160</v>
      </c>
      <c r="I278" t="s">
        <v>671</v>
      </c>
      <c r="J278" s="83">
        <v>57.15</v>
      </c>
      <c r="K278" s="83">
        <v>80019.38</v>
      </c>
      <c r="L278" t="s">
        <v>395</v>
      </c>
      <c r="M278">
        <v>-38868.76</v>
      </c>
      <c r="N278" s="84">
        <v>-0.1154</v>
      </c>
    </row>
    <row r="279" spans="3:14" x14ac:dyDescent="0.25">
      <c r="C279">
        <v>161</v>
      </c>
      <c r="D279" t="s">
        <v>669</v>
      </c>
      <c r="E279">
        <v>14</v>
      </c>
      <c r="F279" t="s">
        <v>672</v>
      </c>
      <c r="G279" s="83">
        <v>29.5</v>
      </c>
      <c r="H279" s="83">
        <v>41300</v>
      </c>
      <c r="I279" t="s">
        <v>671</v>
      </c>
      <c r="J279" s="83">
        <v>53.95</v>
      </c>
      <c r="K279" s="83">
        <v>75539.38</v>
      </c>
      <c r="L279" t="s">
        <v>395</v>
      </c>
      <c r="M279">
        <v>-34248.76</v>
      </c>
      <c r="N279" s="84">
        <v>-0.1017</v>
      </c>
    </row>
    <row r="280" spans="3:14" x14ac:dyDescent="0.25">
      <c r="C280">
        <v>162</v>
      </c>
      <c r="D280" t="s">
        <v>669</v>
      </c>
      <c r="E280">
        <v>15</v>
      </c>
      <c r="F280" t="s">
        <v>673</v>
      </c>
      <c r="G280" s="83">
        <v>27.9</v>
      </c>
      <c r="H280" s="83">
        <v>41850</v>
      </c>
      <c r="I280" t="s">
        <v>671</v>
      </c>
      <c r="J280" s="83">
        <v>44.95</v>
      </c>
      <c r="K280" s="83">
        <v>67435.05</v>
      </c>
      <c r="L280" t="s">
        <v>395</v>
      </c>
      <c r="M280">
        <v>-25595.1</v>
      </c>
      <c r="N280" s="84">
        <v>-7.6799999999999993E-2</v>
      </c>
    </row>
    <row r="281" spans="3:14" x14ac:dyDescent="0.25">
      <c r="C281">
        <v>163</v>
      </c>
      <c r="D281" t="s">
        <v>635</v>
      </c>
      <c r="E281">
        <v>15</v>
      </c>
      <c r="F281" t="s">
        <v>654</v>
      </c>
      <c r="G281" s="83">
        <v>27.3</v>
      </c>
      <c r="H281" s="83">
        <v>40950</v>
      </c>
      <c r="I281" t="s">
        <v>674</v>
      </c>
      <c r="J281" s="83">
        <v>2.6</v>
      </c>
      <c r="K281" s="83">
        <v>3910.05</v>
      </c>
      <c r="L281" t="s">
        <v>399</v>
      </c>
      <c r="M281">
        <v>37029.9</v>
      </c>
      <c r="N281" s="84">
        <v>0.219</v>
      </c>
    </row>
    <row r="282" spans="3:14" x14ac:dyDescent="0.25">
      <c r="C282">
        <v>164</v>
      </c>
      <c r="D282" t="s">
        <v>635</v>
      </c>
      <c r="E282">
        <v>18</v>
      </c>
      <c r="F282" t="s">
        <v>675</v>
      </c>
      <c r="G282" s="83">
        <v>22.4</v>
      </c>
      <c r="H282" s="83">
        <v>40320</v>
      </c>
      <c r="I282" t="s">
        <v>674</v>
      </c>
      <c r="J282" s="83">
        <v>1.1000000000000001</v>
      </c>
      <c r="K282" s="83">
        <v>1992.06</v>
      </c>
      <c r="L282" t="s">
        <v>399</v>
      </c>
      <c r="M282">
        <v>38315.879999999997</v>
      </c>
      <c r="N282" s="84">
        <v>0.189</v>
      </c>
    </row>
    <row r="283" spans="3:14" x14ac:dyDescent="0.25">
      <c r="C283">
        <v>165</v>
      </c>
      <c r="D283" t="s">
        <v>635</v>
      </c>
      <c r="E283">
        <v>24</v>
      </c>
      <c r="F283" t="s">
        <v>676</v>
      </c>
      <c r="G283" s="83">
        <v>17.100000000000001</v>
      </c>
      <c r="H283" s="83">
        <v>41040</v>
      </c>
      <c r="I283" t="s">
        <v>674</v>
      </c>
      <c r="J283" s="83">
        <v>0.85</v>
      </c>
      <c r="K283" s="83">
        <v>2056.08</v>
      </c>
      <c r="L283" t="s">
        <v>399</v>
      </c>
      <c r="M283">
        <v>38967.839999999997</v>
      </c>
      <c r="N283" s="84">
        <v>0.14380000000000001</v>
      </c>
    </row>
    <row r="284" spans="3:14" x14ac:dyDescent="0.25">
      <c r="C284">
        <v>166</v>
      </c>
      <c r="D284" t="s">
        <v>635</v>
      </c>
      <c r="E284">
        <v>14</v>
      </c>
      <c r="F284" t="s">
        <v>677</v>
      </c>
      <c r="G284" s="83">
        <v>28.9</v>
      </c>
      <c r="H284" s="83">
        <v>40460</v>
      </c>
      <c r="I284" t="s">
        <v>674</v>
      </c>
      <c r="J284" s="83">
        <v>1.7</v>
      </c>
      <c r="K284" s="83">
        <v>2389.38</v>
      </c>
      <c r="L284" t="s">
        <v>399</v>
      </c>
      <c r="M284">
        <v>38061.24</v>
      </c>
      <c r="N284" s="84">
        <v>0.23419999999999999</v>
      </c>
    </row>
    <row r="285" spans="3:14" x14ac:dyDescent="0.25">
      <c r="C285">
        <v>167</v>
      </c>
      <c r="D285" t="s">
        <v>635</v>
      </c>
      <c r="E285">
        <v>15</v>
      </c>
      <c r="F285" t="s">
        <v>665</v>
      </c>
      <c r="G285" s="83">
        <v>23.1</v>
      </c>
      <c r="H285" s="83">
        <v>34650</v>
      </c>
      <c r="I285" t="s">
        <v>1259</v>
      </c>
      <c r="J285" s="83">
        <v>0.9</v>
      </c>
      <c r="K285" s="83">
        <v>1360.05</v>
      </c>
      <c r="L285" t="s">
        <v>399</v>
      </c>
      <c r="M285">
        <v>33279.9</v>
      </c>
      <c r="N285" s="84">
        <v>0.2177</v>
      </c>
    </row>
    <row r="286" spans="3:14" x14ac:dyDescent="0.25">
      <c r="C286">
        <v>168</v>
      </c>
      <c r="D286" t="s">
        <v>615</v>
      </c>
      <c r="E286">
        <v>9</v>
      </c>
      <c r="F286" t="s">
        <v>678</v>
      </c>
      <c r="G286" s="83">
        <v>35.200000000000003</v>
      </c>
      <c r="H286" s="83">
        <v>31680</v>
      </c>
      <c r="I286" t="s">
        <v>679</v>
      </c>
      <c r="J286" s="83">
        <v>0</v>
      </c>
      <c r="K286" s="83">
        <v>0</v>
      </c>
      <c r="L286" t="s">
        <v>465</v>
      </c>
      <c r="M286">
        <v>31673.97</v>
      </c>
      <c r="N286" s="84">
        <v>0.39190000000000003</v>
      </c>
    </row>
    <row r="287" spans="3:14" x14ac:dyDescent="0.25">
      <c r="C287">
        <v>169</v>
      </c>
      <c r="D287" t="s">
        <v>589</v>
      </c>
      <c r="E287">
        <v>31</v>
      </c>
      <c r="F287" t="s">
        <v>690</v>
      </c>
      <c r="G287" s="83">
        <v>13.85</v>
      </c>
      <c r="H287" s="83">
        <v>42935</v>
      </c>
      <c r="I287" t="s">
        <v>691</v>
      </c>
      <c r="J287" s="83">
        <v>31.45</v>
      </c>
      <c r="K287" s="83">
        <v>97515.77</v>
      </c>
      <c r="L287" t="s">
        <v>395</v>
      </c>
      <c r="M287">
        <v>-54601.54</v>
      </c>
      <c r="N287" s="84">
        <v>-0.11650000000000001</v>
      </c>
    </row>
    <row r="288" spans="3:14" x14ac:dyDescent="0.25">
      <c r="C288">
        <v>170</v>
      </c>
      <c r="D288" t="s">
        <v>589</v>
      </c>
      <c r="E288">
        <v>25</v>
      </c>
      <c r="F288" t="s">
        <v>685</v>
      </c>
      <c r="G288" s="83">
        <v>17.899999999999999</v>
      </c>
      <c r="H288" s="83">
        <v>44750</v>
      </c>
      <c r="I288" t="s">
        <v>691</v>
      </c>
      <c r="J288" s="83">
        <v>27.1</v>
      </c>
      <c r="K288" s="83">
        <v>67766.75</v>
      </c>
      <c r="L288" t="s">
        <v>395</v>
      </c>
      <c r="M288">
        <v>-23033.5</v>
      </c>
      <c r="N288" s="84">
        <v>-6.9699999999999998E-2</v>
      </c>
    </row>
    <row r="289" spans="3:14" x14ac:dyDescent="0.25">
      <c r="C289">
        <v>171</v>
      </c>
      <c r="D289" t="s">
        <v>589</v>
      </c>
      <c r="E289">
        <v>30</v>
      </c>
      <c r="F289" t="s">
        <v>686</v>
      </c>
      <c r="G289" s="83">
        <v>15.55</v>
      </c>
      <c r="H289" s="83">
        <v>46650</v>
      </c>
      <c r="I289" t="s">
        <v>691</v>
      </c>
      <c r="J289" s="83">
        <v>24.1</v>
      </c>
      <c r="K289" s="83">
        <v>72320.100000000006</v>
      </c>
      <c r="L289" t="s">
        <v>395</v>
      </c>
      <c r="M289">
        <v>-25690.2</v>
      </c>
      <c r="N289" s="84">
        <v>-6.6199999999999995E-2</v>
      </c>
    </row>
    <row r="290" spans="3:14" x14ac:dyDescent="0.25">
      <c r="C290">
        <v>172</v>
      </c>
      <c r="D290" t="s">
        <v>589</v>
      </c>
      <c r="E290">
        <v>34</v>
      </c>
      <c r="F290" t="s">
        <v>692</v>
      </c>
      <c r="G290" s="83">
        <v>13.8</v>
      </c>
      <c r="H290" s="83">
        <v>46920</v>
      </c>
      <c r="I290" t="s">
        <v>691</v>
      </c>
      <c r="J290" s="83">
        <v>22.2</v>
      </c>
      <c r="K290" s="83">
        <v>75502.78</v>
      </c>
      <c r="L290" t="s">
        <v>395</v>
      </c>
      <c r="M290">
        <v>-28605.56</v>
      </c>
      <c r="N290" s="84">
        <v>-6.6699999999999995E-2</v>
      </c>
    </row>
    <row r="291" spans="3:14" x14ac:dyDescent="0.25">
      <c r="C291">
        <v>173</v>
      </c>
      <c r="D291" t="s">
        <v>589</v>
      </c>
      <c r="E291">
        <v>33</v>
      </c>
      <c r="F291" t="s">
        <v>687</v>
      </c>
      <c r="G291" s="83">
        <v>14.2</v>
      </c>
      <c r="H291" s="83">
        <v>46860</v>
      </c>
      <c r="I291" t="s">
        <v>691</v>
      </c>
      <c r="J291" s="83">
        <v>22.4</v>
      </c>
      <c r="K291" s="83">
        <v>73942.11</v>
      </c>
      <c r="L291" t="s">
        <v>395</v>
      </c>
      <c r="M291">
        <v>-27104.22</v>
      </c>
      <c r="N291" s="84">
        <v>-6.0499999999999998E-2</v>
      </c>
    </row>
    <row r="292" spans="3:14" x14ac:dyDescent="0.25">
      <c r="C292">
        <v>174</v>
      </c>
      <c r="D292" t="s">
        <v>589</v>
      </c>
      <c r="E292">
        <v>38</v>
      </c>
      <c r="F292" t="s">
        <v>693</v>
      </c>
      <c r="G292" s="83">
        <v>12.25</v>
      </c>
      <c r="H292" s="83">
        <v>46550</v>
      </c>
      <c r="I292" t="s">
        <v>691</v>
      </c>
      <c r="J292" s="83">
        <v>19.5</v>
      </c>
      <c r="K292" s="83">
        <v>74125.460000000006</v>
      </c>
      <c r="L292" t="s">
        <v>395</v>
      </c>
      <c r="M292">
        <v>-27600.92</v>
      </c>
      <c r="N292" s="84">
        <v>-5.9200000000000003E-2</v>
      </c>
    </row>
    <row r="293" spans="3:14" x14ac:dyDescent="0.25">
      <c r="C293">
        <v>175</v>
      </c>
      <c r="D293" t="s">
        <v>529</v>
      </c>
      <c r="E293">
        <v>24</v>
      </c>
      <c r="F293" t="s">
        <v>671</v>
      </c>
      <c r="G293" s="83">
        <v>17.3</v>
      </c>
      <c r="H293" s="83">
        <v>41520</v>
      </c>
      <c r="I293" t="s">
        <v>694</v>
      </c>
      <c r="J293" s="83">
        <v>28</v>
      </c>
      <c r="K293" s="83">
        <v>67216.08</v>
      </c>
      <c r="L293" t="s">
        <v>623</v>
      </c>
      <c r="M293">
        <v>-25712.16</v>
      </c>
      <c r="N293" s="84">
        <v>-6.3899999999999998E-2</v>
      </c>
    </row>
    <row r="294" spans="3:14" x14ac:dyDescent="0.25">
      <c r="C294">
        <v>176</v>
      </c>
      <c r="D294" t="s">
        <v>529</v>
      </c>
      <c r="E294">
        <v>21</v>
      </c>
      <c r="F294" t="s">
        <v>679</v>
      </c>
      <c r="G294" s="83">
        <v>20.149999999999999</v>
      </c>
      <c r="H294" s="83">
        <v>42315</v>
      </c>
      <c r="I294" t="s">
        <v>694</v>
      </c>
      <c r="J294" s="83">
        <v>30.6</v>
      </c>
      <c r="K294" s="83">
        <v>64274.07</v>
      </c>
      <c r="L294" t="s">
        <v>623</v>
      </c>
      <c r="M294">
        <v>-21973.14</v>
      </c>
      <c r="N294" s="84">
        <v>-6.5500000000000003E-2</v>
      </c>
    </row>
    <row r="295" spans="3:14" x14ac:dyDescent="0.25">
      <c r="C295">
        <v>177</v>
      </c>
      <c r="D295" t="s">
        <v>529</v>
      </c>
      <c r="E295">
        <v>22</v>
      </c>
      <c r="F295" t="s">
        <v>695</v>
      </c>
      <c r="G295" s="83">
        <v>19</v>
      </c>
      <c r="H295" s="83">
        <v>41800</v>
      </c>
      <c r="I295" t="s">
        <v>694</v>
      </c>
      <c r="J295" s="83">
        <v>28</v>
      </c>
      <c r="K295" s="83">
        <v>61614.74</v>
      </c>
      <c r="L295" t="s">
        <v>623</v>
      </c>
      <c r="M295">
        <v>-19829.48</v>
      </c>
      <c r="N295" s="84">
        <v>-5.7799999999999997E-2</v>
      </c>
    </row>
    <row r="296" spans="3:14" x14ac:dyDescent="0.25">
      <c r="C296">
        <v>178</v>
      </c>
      <c r="D296" t="s">
        <v>529</v>
      </c>
      <c r="E296">
        <v>31</v>
      </c>
      <c r="F296" t="s">
        <v>699</v>
      </c>
      <c r="G296" s="83">
        <v>14.85</v>
      </c>
      <c r="H296" s="83">
        <v>46035</v>
      </c>
      <c r="I296" t="s">
        <v>694</v>
      </c>
      <c r="J296" s="83">
        <v>25.5</v>
      </c>
      <c r="K296" s="83">
        <v>79070.77</v>
      </c>
      <c r="L296" t="s">
        <v>623</v>
      </c>
      <c r="M296">
        <v>-33056.54</v>
      </c>
      <c r="N296" s="84">
        <v>-6.8699999999999997E-2</v>
      </c>
    </row>
    <row r="297" spans="3:14" x14ac:dyDescent="0.25">
      <c r="C297">
        <v>179</v>
      </c>
      <c r="D297" t="s">
        <v>581</v>
      </c>
      <c r="E297">
        <v>81</v>
      </c>
      <c r="F297" t="s">
        <v>657</v>
      </c>
      <c r="G297" s="83">
        <v>5.0999999999999996</v>
      </c>
      <c r="H297" s="83">
        <v>41310</v>
      </c>
      <c r="I297" t="s">
        <v>1260</v>
      </c>
      <c r="J297" s="83">
        <v>4.9000000000000004</v>
      </c>
      <c r="K297" s="83">
        <v>39744.269999999997</v>
      </c>
      <c r="L297" t="s">
        <v>395</v>
      </c>
      <c r="M297">
        <v>1511.46</v>
      </c>
      <c r="N297" s="84">
        <v>6.1999999999999998E-3</v>
      </c>
    </row>
    <row r="298" spans="3:14" x14ac:dyDescent="0.25">
      <c r="C298">
        <v>180</v>
      </c>
      <c r="D298" t="s">
        <v>581</v>
      </c>
      <c r="E298">
        <v>88</v>
      </c>
      <c r="F298" t="s">
        <v>1256</v>
      </c>
      <c r="G298" s="83">
        <v>4.7</v>
      </c>
      <c r="H298" s="83">
        <v>41360</v>
      </c>
      <c r="I298" t="s">
        <v>1260</v>
      </c>
      <c r="J298" s="83">
        <v>4.5</v>
      </c>
      <c r="K298" s="83">
        <v>39658.959999999999</v>
      </c>
      <c r="L298" t="s">
        <v>395</v>
      </c>
      <c r="M298">
        <v>1642.08</v>
      </c>
      <c r="N298" s="84">
        <v>6.4000000000000003E-3</v>
      </c>
    </row>
    <row r="299" spans="3:14" x14ac:dyDescent="0.25">
      <c r="C299">
        <v>181</v>
      </c>
      <c r="D299" t="s">
        <v>581</v>
      </c>
      <c r="E299">
        <v>77</v>
      </c>
      <c r="F299" t="s">
        <v>658</v>
      </c>
      <c r="G299" s="83">
        <v>5.4</v>
      </c>
      <c r="H299" s="83">
        <v>41580</v>
      </c>
      <c r="I299" t="s">
        <v>1260</v>
      </c>
      <c r="J299" s="83">
        <v>5.6</v>
      </c>
      <c r="K299" s="83">
        <v>43171.59</v>
      </c>
      <c r="L299" t="s">
        <v>395</v>
      </c>
      <c r="M299">
        <v>-1643.18</v>
      </c>
      <c r="N299" s="84">
        <v>-6.7999999999999996E-3</v>
      </c>
    </row>
    <row r="300" spans="3:14" x14ac:dyDescent="0.25">
      <c r="C300">
        <v>182</v>
      </c>
      <c r="D300" t="s">
        <v>581</v>
      </c>
      <c r="E300">
        <v>89</v>
      </c>
      <c r="F300" t="s">
        <v>660</v>
      </c>
      <c r="G300" s="83">
        <v>4.7</v>
      </c>
      <c r="H300" s="83">
        <v>41830</v>
      </c>
      <c r="I300" t="s">
        <v>1260</v>
      </c>
      <c r="J300" s="83">
        <v>5.2</v>
      </c>
      <c r="K300" s="83">
        <v>46339.63</v>
      </c>
      <c r="L300" t="s">
        <v>395</v>
      </c>
      <c r="M300">
        <v>-4569.26</v>
      </c>
      <c r="N300" s="84">
        <v>-1.6400000000000001E-2</v>
      </c>
    </row>
    <row r="301" spans="3:14" x14ac:dyDescent="0.25">
      <c r="C301">
        <v>183</v>
      </c>
      <c r="D301" t="s">
        <v>581</v>
      </c>
      <c r="E301">
        <v>89</v>
      </c>
      <c r="F301" t="s">
        <v>697</v>
      </c>
      <c r="G301" s="83">
        <v>4.7</v>
      </c>
      <c r="H301" s="83">
        <v>41830</v>
      </c>
      <c r="I301" t="s">
        <v>1260</v>
      </c>
      <c r="J301" s="83">
        <v>7.3</v>
      </c>
      <c r="K301" s="83">
        <v>65029.63</v>
      </c>
      <c r="L301" t="s">
        <v>395</v>
      </c>
      <c r="M301">
        <v>-23259.26</v>
      </c>
      <c r="N301" s="84">
        <v>-7.1999999999999995E-2</v>
      </c>
    </row>
    <row r="302" spans="3:14" x14ac:dyDescent="0.25">
      <c r="C302">
        <v>184</v>
      </c>
      <c r="D302" t="s">
        <v>581</v>
      </c>
      <c r="E302">
        <v>93</v>
      </c>
      <c r="F302" t="s">
        <v>698</v>
      </c>
      <c r="G302" s="83">
        <v>4.8</v>
      </c>
      <c r="H302" s="83">
        <v>44640</v>
      </c>
      <c r="I302" t="s">
        <v>1260</v>
      </c>
      <c r="J302" s="83">
        <v>7.75</v>
      </c>
      <c r="K302" s="83">
        <v>72137.31</v>
      </c>
      <c r="L302" t="s">
        <v>395</v>
      </c>
      <c r="M302">
        <v>-27559.62</v>
      </c>
      <c r="N302" s="84">
        <v>-7.9699999999999993E-2</v>
      </c>
    </row>
    <row r="303" spans="3:14" x14ac:dyDescent="0.25">
      <c r="C303">
        <v>185</v>
      </c>
      <c r="D303" t="s">
        <v>581</v>
      </c>
      <c r="E303">
        <v>117</v>
      </c>
      <c r="F303" t="s">
        <v>681</v>
      </c>
      <c r="G303" s="83">
        <v>3.9</v>
      </c>
      <c r="H303" s="83">
        <v>45630</v>
      </c>
      <c r="I303" t="s">
        <v>1260</v>
      </c>
      <c r="J303" s="83">
        <v>6.75</v>
      </c>
      <c r="K303" s="83">
        <v>79053.39</v>
      </c>
      <c r="L303" t="s">
        <v>395</v>
      </c>
      <c r="M303">
        <v>-33501.78</v>
      </c>
      <c r="N303" s="84">
        <v>-7.9299999999999995E-2</v>
      </c>
    </row>
    <row r="304" spans="3:14" x14ac:dyDescent="0.25">
      <c r="C304">
        <v>186</v>
      </c>
      <c r="D304" t="s">
        <v>703</v>
      </c>
      <c r="E304">
        <v>37</v>
      </c>
      <c r="F304" t="s">
        <v>704</v>
      </c>
      <c r="G304" s="83">
        <v>11.6</v>
      </c>
      <c r="H304" s="83">
        <v>42920</v>
      </c>
      <c r="I304" t="s">
        <v>705</v>
      </c>
      <c r="J304" s="83">
        <v>0</v>
      </c>
      <c r="K304" s="83">
        <v>0</v>
      </c>
      <c r="L304" t="s">
        <v>465</v>
      </c>
      <c r="M304">
        <v>42895.21</v>
      </c>
      <c r="N304" s="84">
        <v>0.6663</v>
      </c>
    </row>
    <row r="305" spans="3:14" x14ac:dyDescent="0.25">
      <c r="C305">
        <v>187</v>
      </c>
      <c r="D305" t="s">
        <v>706</v>
      </c>
      <c r="E305">
        <v>56</v>
      </c>
      <c r="F305" t="s">
        <v>707</v>
      </c>
      <c r="G305" s="83">
        <v>7.1</v>
      </c>
      <c r="H305" s="83">
        <v>39760</v>
      </c>
      <c r="I305" t="s">
        <v>708</v>
      </c>
      <c r="J305" s="83">
        <v>9.6</v>
      </c>
      <c r="K305" s="83">
        <v>53797.52</v>
      </c>
      <c r="L305" t="s">
        <v>395</v>
      </c>
      <c r="M305">
        <v>-14075.04</v>
      </c>
      <c r="N305" s="84">
        <v>-4.3400000000000001E-2</v>
      </c>
    </row>
    <row r="306" spans="3:14" x14ac:dyDescent="0.25">
      <c r="C306">
        <v>188</v>
      </c>
      <c r="D306" t="s">
        <v>706</v>
      </c>
      <c r="E306">
        <v>74</v>
      </c>
      <c r="F306" t="s">
        <v>709</v>
      </c>
      <c r="G306" s="83">
        <v>5.9</v>
      </c>
      <c r="H306" s="83">
        <v>43660</v>
      </c>
      <c r="I306" t="s">
        <v>708</v>
      </c>
      <c r="J306" s="83">
        <v>11.8</v>
      </c>
      <c r="K306" s="83">
        <v>87369.58</v>
      </c>
      <c r="L306" t="s">
        <v>395</v>
      </c>
      <c r="M306">
        <v>-43759.16</v>
      </c>
      <c r="N306" s="84">
        <v>-9.2299999999999993E-2</v>
      </c>
    </row>
    <row r="307" spans="3:14" x14ac:dyDescent="0.25">
      <c r="C307">
        <v>189</v>
      </c>
      <c r="D307" t="s">
        <v>581</v>
      </c>
      <c r="E307">
        <v>54</v>
      </c>
      <c r="F307" t="s">
        <v>710</v>
      </c>
      <c r="G307" s="83">
        <v>7.35</v>
      </c>
      <c r="H307" s="83">
        <v>39690</v>
      </c>
      <c r="I307" t="s">
        <v>711</v>
      </c>
      <c r="J307" s="83">
        <v>11.9</v>
      </c>
      <c r="K307" s="83">
        <v>64296.18</v>
      </c>
      <c r="L307" t="s">
        <v>623</v>
      </c>
      <c r="M307">
        <v>-24642.36</v>
      </c>
      <c r="N307" s="84">
        <v>-0.13980000000000001</v>
      </c>
    </row>
    <row r="308" spans="3:14" x14ac:dyDescent="0.25">
      <c r="C308">
        <v>190</v>
      </c>
      <c r="D308" t="s">
        <v>524</v>
      </c>
      <c r="E308">
        <v>41</v>
      </c>
      <c r="F308" t="s">
        <v>684</v>
      </c>
      <c r="G308" s="83">
        <v>8.15</v>
      </c>
      <c r="H308" s="83">
        <v>33415</v>
      </c>
      <c r="I308" t="s">
        <v>713</v>
      </c>
      <c r="J308" s="83">
        <v>5.05</v>
      </c>
      <c r="K308" s="83">
        <v>20732.47</v>
      </c>
      <c r="L308" t="s">
        <v>623</v>
      </c>
      <c r="M308">
        <v>12655.06</v>
      </c>
      <c r="N308" s="84">
        <v>4.02E-2</v>
      </c>
    </row>
    <row r="309" spans="3:14" x14ac:dyDescent="0.25">
      <c r="C309">
        <v>191</v>
      </c>
      <c r="D309" t="s">
        <v>524</v>
      </c>
      <c r="E309">
        <v>48</v>
      </c>
      <c r="F309" t="s">
        <v>680</v>
      </c>
      <c r="G309" s="83">
        <v>7.05</v>
      </c>
      <c r="H309" s="83">
        <v>33840</v>
      </c>
      <c r="I309" t="s">
        <v>713</v>
      </c>
      <c r="J309" s="83">
        <v>4.0999999999999996</v>
      </c>
      <c r="K309" s="83">
        <v>19712.16</v>
      </c>
      <c r="L309" t="s">
        <v>623</v>
      </c>
      <c r="M309">
        <v>14095.68</v>
      </c>
      <c r="N309" s="84">
        <v>4.0300000000000002E-2</v>
      </c>
    </row>
    <row r="310" spans="3:14" x14ac:dyDescent="0.25">
      <c r="C310">
        <v>192</v>
      </c>
      <c r="D310" t="s">
        <v>524</v>
      </c>
      <c r="E310">
        <v>53</v>
      </c>
      <c r="F310" t="s">
        <v>682</v>
      </c>
      <c r="G310" s="83">
        <v>6.4</v>
      </c>
      <c r="H310" s="83">
        <v>33920</v>
      </c>
      <c r="I310" t="s">
        <v>713</v>
      </c>
      <c r="J310" s="83">
        <v>3.25</v>
      </c>
      <c r="K310" s="83">
        <v>17260.509999999998</v>
      </c>
      <c r="L310" t="s">
        <v>623</v>
      </c>
      <c r="M310">
        <v>16623.98</v>
      </c>
      <c r="N310" s="84">
        <v>4.5699999999999998E-2</v>
      </c>
    </row>
    <row r="311" spans="3:14" x14ac:dyDescent="0.25">
      <c r="C311">
        <v>193</v>
      </c>
      <c r="D311" t="s">
        <v>524</v>
      </c>
      <c r="E311">
        <v>41</v>
      </c>
      <c r="F311" t="s">
        <v>1257</v>
      </c>
      <c r="G311" s="83">
        <v>10.1</v>
      </c>
      <c r="H311" s="83">
        <v>41410</v>
      </c>
      <c r="I311" t="s">
        <v>713</v>
      </c>
      <c r="J311" s="83">
        <v>12</v>
      </c>
      <c r="K311" s="83">
        <v>49227.47</v>
      </c>
      <c r="L311" t="s">
        <v>623</v>
      </c>
      <c r="M311">
        <v>-7844.94</v>
      </c>
      <c r="N311" s="84">
        <v>-2.2499999999999999E-2</v>
      </c>
    </row>
    <row r="312" spans="3:14" x14ac:dyDescent="0.25">
      <c r="C312">
        <v>194</v>
      </c>
      <c r="D312" t="s">
        <v>524</v>
      </c>
      <c r="E312">
        <v>48</v>
      </c>
      <c r="F312" t="s">
        <v>655</v>
      </c>
      <c r="G312" s="83">
        <v>8.65</v>
      </c>
      <c r="H312" s="83">
        <v>41520</v>
      </c>
      <c r="I312" t="s">
        <v>713</v>
      </c>
      <c r="J312" s="83">
        <v>10.4</v>
      </c>
      <c r="K312" s="83">
        <v>49952.160000000003</v>
      </c>
      <c r="L312" t="s">
        <v>623</v>
      </c>
      <c r="M312">
        <v>-8464.32</v>
      </c>
      <c r="N312" s="84">
        <v>-2.1700000000000001E-2</v>
      </c>
    </row>
    <row r="313" spans="3:14" x14ac:dyDescent="0.25">
      <c r="C313">
        <v>195</v>
      </c>
      <c r="D313" t="s">
        <v>524</v>
      </c>
      <c r="E313">
        <v>47</v>
      </c>
      <c r="F313" t="s">
        <v>1261</v>
      </c>
      <c r="G313" s="83">
        <v>9.3000000000000007</v>
      </c>
      <c r="H313" s="83">
        <v>43710</v>
      </c>
      <c r="I313" t="s">
        <v>713</v>
      </c>
      <c r="J313" s="83">
        <v>13.95</v>
      </c>
      <c r="K313" s="83">
        <v>65596.490000000005</v>
      </c>
      <c r="L313" t="s">
        <v>623</v>
      </c>
      <c r="M313">
        <v>-21917.98</v>
      </c>
      <c r="N313" s="84">
        <v>-5.1400000000000001E-2</v>
      </c>
    </row>
    <row r="314" spans="3:14" x14ac:dyDescent="0.25">
      <c r="C314">
        <v>196</v>
      </c>
      <c r="D314" t="s">
        <v>524</v>
      </c>
      <c r="E314">
        <v>41</v>
      </c>
      <c r="F314" t="s">
        <v>666</v>
      </c>
      <c r="G314" s="83">
        <v>10.75</v>
      </c>
      <c r="H314" s="83">
        <v>44075</v>
      </c>
      <c r="I314" t="s">
        <v>713</v>
      </c>
      <c r="J314" s="83">
        <v>15.35</v>
      </c>
      <c r="K314" s="83">
        <v>62962.47</v>
      </c>
      <c r="L314" t="s">
        <v>623</v>
      </c>
      <c r="M314">
        <v>-18914.939999999999</v>
      </c>
      <c r="N314" s="84">
        <v>-5.1700000000000003E-2</v>
      </c>
    </row>
    <row r="315" spans="3:14" x14ac:dyDescent="0.25">
      <c r="C315">
        <v>197</v>
      </c>
      <c r="D315" t="s">
        <v>396</v>
      </c>
      <c r="E315">
        <v>44</v>
      </c>
      <c r="F315" t="s">
        <v>716</v>
      </c>
      <c r="G315" s="83">
        <v>8.65</v>
      </c>
      <c r="H315" s="83">
        <v>38060</v>
      </c>
      <c r="I315" t="s">
        <v>717</v>
      </c>
      <c r="J315" s="83">
        <v>13.35</v>
      </c>
      <c r="K315" s="83">
        <v>58769.48</v>
      </c>
      <c r="L315" t="s">
        <v>623</v>
      </c>
      <c r="M315">
        <v>-20738.96</v>
      </c>
      <c r="N315" s="84">
        <v>-5.2999999999999999E-2</v>
      </c>
    </row>
    <row r="316" spans="3:14" x14ac:dyDescent="0.25">
      <c r="C316">
        <v>198</v>
      </c>
      <c r="D316" t="s">
        <v>396</v>
      </c>
      <c r="E316">
        <v>46</v>
      </c>
      <c r="F316" t="s">
        <v>718</v>
      </c>
      <c r="G316" s="83">
        <v>8.35</v>
      </c>
      <c r="H316" s="83">
        <v>38410</v>
      </c>
      <c r="I316" t="s">
        <v>717</v>
      </c>
      <c r="J316" s="83">
        <v>14.55</v>
      </c>
      <c r="K316" s="83">
        <v>66960.820000000007</v>
      </c>
      <c r="L316" t="s">
        <v>623</v>
      </c>
      <c r="M316">
        <v>-28581.64</v>
      </c>
      <c r="N316" s="84">
        <v>-6.7799999999999999E-2</v>
      </c>
    </row>
    <row r="317" spans="3:14" x14ac:dyDescent="0.25">
      <c r="C317">
        <v>199</v>
      </c>
      <c r="D317" t="s">
        <v>508</v>
      </c>
      <c r="E317">
        <v>63</v>
      </c>
      <c r="F317" t="s">
        <v>719</v>
      </c>
      <c r="G317" s="83">
        <v>5.9</v>
      </c>
      <c r="H317" s="83">
        <v>37170</v>
      </c>
      <c r="I317" t="s">
        <v>717</v>
      </c>
      <c r="J317" s="83">
        <v>14.65</v>
      </c>
      <c r="K317" s="83">
        <v>92337.21</v>
      </c>
      <c r="L317" t="s">
        <v>623</v>
      </c>
      <c r="M317">
        <v>-55209.42</v>
      </c>
      <c r="N317" s="84">
        <v>-0.13669999999999999</v>
      </c>
    </row>
    <row r="318" spans="3:14" x14ac:dyDescent="0.25">
      <c r="C318">
        <v>200</v>
      </c>
      <c r="D318" t="s">
        <v>396</v>
      </c>
      <c r="E318">
        <v>37</v>
      </c>
      <c r="F318" t="s">
        <v>720</v>
      </c>
      <c r="G318" s="83">
        <v>9.85</v>
      </c>
      <c r="H318" s="83">
        <v>36445</v>
      </c>
      <c r="I318" t="s">
        <v>717</v>
      </c>
      <c r="J318" s="83">
        <v>16.3</v>
      </c>
      <c r="K318" s="83">
        <v>60334.79</v>
      </c>
      <c r="L318" t="s">
        <v>623</v>
      </c>
      <c r="M318">
        <v>-23914.58</v>
      </c>
      <c r="N318" s="84">
        <v>-7.17E-2</v>
      </c>
    </row>
    <row r="319" spans="3:14" x14ac:dyDescent="0.25">
      <c r="C319">
        <v>201</v>
      </c>
      <c r="D319" t="s">
        <v>589</v>
      </c>
      <c r="E319">
        <v>18</v>
      </c>
      <c r="F319" t="s">
        <v>724</v>
      </c>
      <c r="G319" s="83">
        <v>19.5</v>
      </c>
      <c r="H319" s="83">
        <v>35100</v>
      </c>
      <c r="I319" t="s">
        <v>725</v>
      </c>
      <c r="J319" s="83">
        <v>32.950000000000003</v>
      </c>
      <c r="K319" s="83">
        <v>59322.06</v>
      </c>
      <c r="L319" t="s">
        <v>395</v>
      </c>
      <c r="M319">
        <v>-24234.12</v>
      </c>
      <c r="N319" s="84">
        <v>-9.9400000000000002E-2</v>
      </c>
    </row>
    <row r="320" spans="3:14" x14ac:dyDescent="0.25">
      <c r="C320">
        <v>202</v>
      </c>
      <c r="D320" t="s">
        <v>589</v>
      </c>
      <c r="E320">
        <v>19</v>
      </c>
      <c r="F320" t="s">
        <v>726</v>
      </c>
      <c r="G320" s="83">
        <v>18.5</v>
      </c>
      <c r="H320" s="83">
        <v>35150</v>
      </c>
      <c r="I320" t="s">
        <v>725</v>
      </c>
      <c r="J320" s="83">
        <v>35.799999999999997</v>
      </c>
      <c r="K320" s="83">
        <v>68032.73</v>
      </c>
      <c r="L320" t="s">
        <v>395</v>
      </c>
      <c r="M320">
        <v>-32895.46</v>
      </c>
      <c r="N320" s="84">
        <v>-0.12239999999999999</v>
      </c>
    </row>
    <row r="321" spans="3:14" x14ac:dyDescent="0.25">
      <c r="C321">
        <v>203</v>
      </c>
      <c r="D321" t="s">
        <v>589</v>
      </c>
      <c r="E321">
        <v>23</v>
      </c>
      <c r="F321" t="s">
        <v>727</v>
      </c>
      <c r="G321" s="83">
        <v>15.5</v>
      </c>
      <c r="H321" s="83">
        <v>35650</v>
      </c>
      <c r="I321" t="s">
        <v>725</v>
      </c>
      <c r="J321" s="83">
        <v>30.2</v>
      </c>
      <c r="K321" s="83">
        <v>69475.41</v>
      </c>
      <c r="L321" t="s">
        <v>395</v>
      </c>
      <c r="M321">
        <v>-33840.82</v>
      </c>
      <c r="N321" s="84">
        <v>-0.1094</v>
      </c>
    </row>
    <row r="322" spans="3:14" x14ac:dyDescent="0.25">
      <c r="C322">
        <v>204</v>
      </c>
      <c r="D322" t="s">
        <v>589</v>
      </c>
      <c r="E322">
        <v>19</v>
      </c>
      <c r="F322" t="s">
        <v>728</v>
      </c>
      <c r="G322" s="83">
        <v>18.850000000000001</v>
      </c>
      <c r="H322" s="83">
        <v>35815</v>
      </c>
      <c r="I322" t="s">
        <v>725</v>
      </c>
      <c r="J322" s="83">
        <v>38.799999999999997</v>
      </c>
      <c r="K322" s="83">
        <v>73732.73</v>
      </c>
      <c r="L322" t="s">
        <v>395</v>
      </c>
      <c r="M322">
        <v>-37930.46</v>
      </c>
      <c r="N322" s="84">
        <v>-0.1366</v>
      </c>
    </row>
    <row r="323" spans="3:14" x14ac:dyDescent="0.25">
      <c r="C323">
        <v>205</v>
      </c>
      <c r="D323" t="s">
        <v>589</v>
      </c>
      <c r="E323">
        <v>29</v>
      </c>
      <c r="F323" t="s">
        <v>729</v>
      </c>
      <c r="G323" s="83">
        <v>12.1</v>
      </c>
      <c r="H323" s="83">
        <v>35090</v>
      </c>
      <c r="I323" t="s">
        <v>725</v>
      </c>
      <c r="J323" s="83">
        <v>27.5</v>
      </c>
      <c r="K323" s="83">
        <v>79769.429999999993</v>
      </c>
      <c r="L323" t="s">
        <v>395</v>
      </c>
      <c r="M323">
        <v>-44698.86</v>
      </c>
      <c r="N323" s="84">
        <v>-0.11600000000000001</v>
      </c>
    </row>
    <row r="324" spans="3:14" x14ac:dyDescent="0.25">
      <c r="C324">
        <v>206</v>
      </c>
      <c r="D324" t="s">
        <v>589</v>
      </c>
      <c r="E324">
        <v>26</v>
      </c>
      <c r="F324" t="s">
        <v>730</v>
      </c>
      <c r="G324" s="83">
        <v>13.2</v>
      </c>
      <c r="H324" s="83">
        <v>34320</v>
      </c>
      <c r="I324" t="s">
        <v>725</v>
      </c>
      <c r="J324" s="83">
        <v>25.2</v>
      </c>
      <c r="K324" s="83">
        <v>65537.42</v>
      </c>
      <c r="L324" t="s">
        <v>395</v>
      </c>
      <c r="M324">
        <v>-31234.84</v>
      </c>
      <c r="N324" s="84">
        <v>-9.4700000000000006E-2</v>
      </c>
    </row>
    <row r="325" spans="3:14" x14ac:dyDescent="0.25">
      <c r="C325">
        <v>207</v>
      </c>
      <c r="D325" t="s">
        <v>731</v>
      </c>
      <c r="E325">
        <v>23</v>
      </c>
      <c r="F325" t="s">
        <v>732</v>
      </c>
      <c r="G325" s="83">
        <v>15.2</v>
      </c>
      <c r="H325" s="83">
        <v>34960</v>
      </c>
      <c r="I325" t="s">
        <v>733</v>
      </c>
      <c r="J325" s="83">
        <v>0.45</v>
      </c>
      <c r="K325" s="83">
        <v>1050.4100000000001</v>
      </c>
      <c r="L325" t="s">
        <v>399</v>
      </c>
      <c r="M325">
        <v>33894.18</v>
      </c>
      <c r="N325" s="84">
        <v>0.37030000000000002</v>
      </c>
    </row>
    <row r="326" spans="3:14" x14ac:dyDescent="0.25">
      <c r="C326">
        <v>208</v>
      </c>
      <c r="D326" t="s">
        <v>703</v>
      </c>
      <c r="E326">
        <v>30</v>
      </c>
      <c r="F326" t="s">
        <v>734</v>
      </c>
      <c r="G326" s="83">
        <v>10.6</v>
      </c>
      <c r="H326" s="83">
        <v>31800</v>
      </c>
      <c r="I326" t="s">
        <v>735</v>
      </c>
      <c r="J326" s="83">
        <v>0.55000000000000004</v>
      </c>
      <c r="K326" s="83">
        <v>1670.1</v>
      </c>
      <c r="L326" t="s">
        <v>399</v>
      </c>
      <c r="M326">
        <v>30109.8</v>
      </c>
      <c r="N326" s="84">
        <v>0.51739999999999997</v>
      </c>
    </row>
    <row r="327" spans="3:14" x14ac:dyDescent="0.25">
      <c r="C327">
        <v>209</v>
      </c>
      <c r="D327" t="s">
        <v>736</v>
      </c>
      <c r="E327">
        <v>24</v>
      </c>
      <c r="F327" t="s">
        <v>737</v>
      </c>
      <c r="G327" s="83">
        <v>14.45</v>
      </c>
      <c r="H327" s="83">
        <v>34680</v>
      </c>
      <c r="I327" t="s">
        <v>738</v>
      </c>
      <c r="J327" s="83">
        <v>24.4</v>
      </c>
      <c r="K327" s="83">
        <v>58576.08</v>
      </c>
      <c r="L327" t="s">
        <v>623</v>
      </c>
      <c r="M327">
        <v>-23912.16</v>
      </c>
      <c r="N327" s="84">
        <v>-7.0900000000000005E-2</v>
      </c>
    </row>
    <row r="328" spans="3:14" x14ac:dyDescent="0.25">
      <c r="C328">
        <v>210</v>
      </c>
      <c r="D328" t="s">
        <v>721</v>
      </c>
      <c r="E328">
        <v>43</v>
      </c>
      <c r="F328" t="s">
        <v>739</v>
      </c>
      <c r="G328" s="83">
        <v>8.4</v>
      </c>
      <c r="H328" s="83">
        <v>36120</v>
      </c>
      <c r="I328" t="s">
        <v>740</v>
      </c>
      <c r="J328" s="83">
        <v>13.4</v>
      </c>
      <c r="K328" s="83">
        <v>57648.81</v>
      </c>
      <c r="L328" t="s">
        <v>623</v>
      </c>
      <c r="M328">
        <v>-21557.62</v>
      </c>
      <c r="N328" s="84">
        <v>-5.79E-2</v>
      </c>
    </row>
    <row r="329" spans="3:14" x14ac:dyDescent="0.25">
      <c r="C329">
        <v>211</v>
      </c>
      <c r="D329" t="s">
        <v>721</v>
      </c>
      <c r="E329">
        <v>43</v>
      </c>
      <c r="F329" t="s">
        <v>722</v>
      </c>
      <c r="G329" s="83">
        <v>8</v>
      </c>
      <c r="H329" s="83">
        <v>34400</v>
      </c>
      <c r="I329" t="s">
        <v>740</v>
      </c>
      <c r="J329" s="83">
        <v>8.8000000000000007</v>
      </c>
      <c r="K329" s="83">
        <v>37868.81</v>
      </c>
      <c r="L329" t="s">
        <v>623</v>
      </c>
      <c r="M329">
        <v>-3497.62</v>
      </c>
      <c r="N329" s="84">
        <v>-1.06E-2</v>
      </c>
    </row>
    <row r="330" spans="3:14" x14ac:dyDescent="0.25">
      <c r="C330">
        <v>212</v>
      </c>
      <c r="D330" t="s">
        <v>721</v>
      </c>
      <c r="E330">
        <v>40</v>
      </c>
      <c r="F330" t="s">
        <v>741</v>
      </c>
      <c r="G330" s="83">
        <v>8.6</v>
      </c>
      <c r="H330" s="83">
        <v>34400</v>
      </c>
      <c r="I330" t="s">
        <v>740</v>
      </c>
      <c r="J330" s="83">
        <v>11</v>
      </c>
      <c r="K330" s="83">
        <v>44026.8</v>
      </c>
      <c r="L330" t="s">
        <v>623</v>
      </c>
      <c r="M330">
        <v>-9653.6</v>
      </c>
      <c r="N330" s="84">
        <v>-2.9600000000000001E-2</v>
      </c>
    </row>
    <row r="331" spans="3:14" x14ac:dyDescent="0.25">
      <c r="C331">
        <v>213</v>
      </c>
      <c r="D331" t="s">
        <v>589</v>
      </c>
      <c r="E331">
        <v>15</v>
      </c>
      <c r="F331" t="s">
        <v>742</v>
      </c>
      <c r="G331" s="83">
        <v>21.15</v>
      </c>
      <c r="H331" s="83">
        <v>31725</v>
      </c>
      <c r="I331" t="s">
        <v>743</v>
      </c>
      <c r="J331" s="83">
        <v>36.799999999999997</v>
      </c>
      <c r="K331" s="83">
        <v>55210.05</v>
      </c>
      <c r="L331" t="s">
        <v>623</v>
      </c>
      <c r="M331">
        <v>-23495.1</v>
      </c>
      <c r="N331" s="84">
        <v>-0.11700000000000001</v>
      </c>
    </row>
    <row r="332" spans="3:14" x14ac:dyDescent="0.25">
      <c r="C332">
        <v>214</v>
      </c>
      <c r="D332" t="s">
        <v>703</v>
      </c>
      <c r="E332">
        <v>37</v>
      </c>
      <c r="F332" t="s">
        <v>744</v>
      </c>
      <c r="G332" s="83">
        <v>9.6999999999999993</v>
      </c>
      <c r="H332" s="83">
        <v>35890</v>
      </c>
      <c r="I332" t="s">
        <v>745</v>
      </c>
      <c r="J332" s="83">
        <v>0.3</v>
      </c>
      <c r="K332" s="83">
        <v>1134.79</v>
      </c>
      <c r="L332" t="s">
        <v>399</v>
      </c>
      <c r="M332">
        <v>34730.42</v>
      </c>
      <c r="N332" s="84">
        <v>0.4864</v>
      </c>
    </row>
    <row r="333" spans="3:14" x14ac:dyDescent="0.25">
      <c r="C333">
        <v>215</v>
      </c>
      <c r="D333" t="s">
        <v>703</v>
      </c>
      <c r="E333">
        <v>39</v>
      </c>
      <c r="F333" t="s">
        <v>746</v>
      </c>
      <c r="G333" s="83">
        <v>8.6999999999999993</v>
      </c>
      <c r="H333" s="83">
        <v>33930</v>
      </c>
      <c r="I333" t="s">
        <v>745</v>
      </c>
      <c r="J333" s="83">
        <v>0.25</v>
      </c>
      <c r="K333" s="83">
        <v>1001.13</v>
      </c>
      <c r="L333" t="s">
        <v>399</v>
      </c>
      <c r="M333">
        <v>32902.74</v>
      </c>
      <c r="N333" s="84">
        <v>0.43709999999999999</v>
      </c>
    </row>
    <row r="334" spans="3:14" x14ac:dyDescent="0.25">
      <c r="C334">
        <v>216</v>
      </c>
      <c r="D334" t="s">
        <v>703</v>
      </c>
      <c r="E334">
        <v>40</v>
      </c>
      <c r="F334" t="s">
        <v>747</v>
      </c>
      <c r="G334" s="83">
        <v>8.1</v>
      </c>
      <c r="H334" s="83">
        <v>32400</v>
      </c>
      <c r="I334" t="s">
        <v>745</v>
      </c>
      <c r="J334" s="83">
        <v>0.2</v>
      </c>
      <c r="K334" s="83">
        <v>826.8</v>
      </c>
      <c r="L334" t="s">
        <v>399</v>
      </c>
      <c r="M334">
        <v>31546.400000000001</v>
      </c>
      <c r="N334" s="84">
        <v>0.4173</v>
      </c>
    </row>
    <row r="335" spans="3:14" x14ac:dyDescent="0.25">
      <c r="C335">
        <v>217</v>
      </c>
      <c r="D335" t="s">
        <v>519</v>
      </c>
      <c r="E335">
        <v>76</v>
      </c>
      <c r="F335" t="s">
        <v>733</v>
      </c>
      <c r="G335" s="83">
        <v>4.25</v>
      </c>
      <c r="H335" s="83">
        <v>32300</v>
      </c>
      <c r="I335" t="s">
        <v>755</v>
      </c>
      <c r="J335" s="83">
        <v>8.8000000000000007</v>
      </c>
      <c r="K335" s="83">
        <v>66930.92</v>
      </c>
      <c r="L335" t="s">
        <v>395</v>
      </c>
      <c r="M335">
        <v>-34681.839999999997</v>
      </c>
      <c r="N335" s="84">
        <v>-0.12759999999999999</v>
      </c>
    </row>
    <row r="336" spans="3:14" x14ac:dyDescent="0.25">
      <c r="C336">
        <v>218</v>
      </c>
      <c r="D336" t="s">
        <v>519</v>
      </c>
      <c r="E336">
        <v>80</v>
      </c>
      <c r="F336" t="s">
        <v>735</v>
      </c>
      <c r="G336" s="83">
        <v>4.0999999999999996</v>
      </c>
      <c r="H336" s="83">
        <v>32800</v>
      </c>
      <c r="I336" t="s">
        <v>755</v>
      </c>
      <c r="J336" s="83">
        <v>9</v>
      </c>
      <c r="K336" s="83">
        <v>72053.600000000006</v>
      </c>
      <c r="L336" t="s">
        <v>395</v>
      </c>
      <c r="M336">
        <v>-39307.199999999997</v>
      </c>
      <c r="N336" s="84">
        <v>-0.13320000000000001</v>
      </c>
    </row>
    <row r="337" spans="3:14" x14ac:dyDescent="0.25">
      <c r="C337">
        <v>219</v>
      </c>
      <c r="D337" t="s">
        <v>519</v>
      </c>
      <c r="E337">
        <v>82</v>
      </c>
      <c r="F337" t="s">
        <v>756</v>
      </c>
      <c r="G337" s="83">
        <v>3.95</v>
      </c>
      <c r="H337" s="83">
        <v>32390</v>
      </c>
      <c r="I337" t="s">
        <v>755</v>
      </c>
      <c r="J337" s="83">
        <v>8.4</v>
      </c>
      <c r="K337" s="83">
        <v>68934.94</v>
      </c>
      <c r="L337" t="s">
        <v>395</v>
      </c>
      <c r="M337">
        <v>-36599.879999999997</v>
      </c>
      <c r="N337" s="84">
        <v>-0.12379999999999999</v>
      </c>
    </row>
    <row r="338" spans="3:14" x14ac:dyDescent="0.25">
      <c r="C338">
        <v>220</v>
      </c>
      <c r="D338" t="s">
        <v>731</v>
      </c>
      <c r="E338">
        <v>41</v>
      </c>
      <c r="F338" t="s">
        <v>757</v>
      </c>
      <c r="G338" s="83">
        <v>8.6999999999999993</v>
      </c>
      <c r="H338" s="83">
        <v>35670</v>
      </c>
      <c r="I338" t="s">
        <v>758</v>
      </c>
      <c r="J338" s="83">
        <v>0</v>
      </c>
      <c r="K338" s="83">
        <v>0</v>
      </c>
      <c r="L338" t="s">
        <v>465</v>
      </c>
      <c r="M338">
        <v>35642.53</v>
      </c>
      <c r="N338" s="84">
        <v>0.21049999999999999</v>
      </c>
    </row>
    <row r="339" spans="3:14" x14ac:dyDescent="0.25">
      <c r="C339">
        <v>221</v>
      </c>
      <c r="D339" t="s">
        <v>759</v>
      </c>
      <c r="E339">
        <v>36</v>
      </c>
      <c r="F339" t="s">
        <v>760</v>
      </c>
      <c r="G339" s="83">
        <v>9.1999999999999993</v>
      </c>
      <c r="H339" s="83">
        <v>33120</v>
      </c>
      <c r="I339" t="s">
        <v>761</v>
      </c>
      <c r="J339" s="83">
        <v>15.35</v>
      </c>
      <c r="K339" s="83">
        <v>55284.12</v>
      </c>
      <c r="L339" t="s">
        <v>623</v>
      </c>
      <c r="M339">
        <v>-22188.240000000002</v>
      </c>
      <c r="N339" s="84">
        <v>-6.4299999999999996E-2</v>
      </c>
    </row>
    <row r="340" spans="3:14" x14ac:dyDescent="0.25">
      <c r="C340">
        <v>222</v>
      </c>
      <c r="D340" t="s">
        <v>703</v>
      </c>
      <c r="E340">
        <v>45</v>
      </c>
      <c r="F340" t="s">
        <v>762</v>
      </c>
      <c r="G340" s="83">
        <v>7.4</v>
      </c>
      <c r="H340" s="83">
        <v>33300</v>
      </c>
      <c r="I340" t="s">
        <v>763</v>
      </c>
      <c r="J340" s="83">
        <v>0.3</v>
      </c>
      <c r="K340" s="83">
        <v>1380.15</v>
      </c>
      <c r="L340" t="s">
        <v>399</v>
      </c>
      <c r="M340">
        <v>31889.7</v>
      </c>
      <c r="N340" s="84">
        <v>0.38100000000000001</v>
      </c>
    </row>
    <row r="341" spans="3:14" x14ac:dyDescent="0.25">
      <c r="C341">
        <v>223</v>
      </c>
      <c r="D341" t="s">
        <v>731</v>
      </c>
      <c r="E341">
        <v>19</v>
      </c>
      <c r="F341" t="s">
        <v>753</v>
      </c>
      <c r="G341" s="83">
        <v>18.5</v>
      </c>
      <c r="H341" s="83">
        <v>35150</v>
      </c>
      <c r="I341" t="s">
        <v>765</v>
      </c>
      <c r="J341" s="83">
        <v>1.2</v>
      </c>
      <c r="K341" s="83">
        <v>2292.73</v>
      </c>
      <c r="L341" t="s">
        <v>399</v>
      </c>
      <c r="M341">
        <v>32844.54</v>
      </c>
      <c r="N341" s="84">
        <v>0.41649999999999998</v>
      </c>
    </row>
    <row r="342" spans="3:14" x14ac:dyDescent="0.25">
      <c r="C342">
        <v>224</v>
      </c>
      <c r="D342" t="s">
        <v>731</v>
      </c>
      <c r="E342">
        <v>25</v>
      </c>
      <c r="F342" t="s">
        <v>751</v>
      </c>
      <c r="G342" s="83">
        <v>14</v>
      </c>
      <c r="H342" s="83">
        <v>35000</v>
      </c>
      <c r="I342" t="s">
        <v>765</v>
      </c>
      <c r="J342" s="83">
        <v>0.75</v>
      </c>
      <c r="K342" s="83">
        <v>1891.75</v>
      </c>
      <c r="L342" t="s">
        <v>399</v>
      </c>
      <c r="M342">
        <v>33091.5</v>
      </c>
      <c r="N342" s="84">
        <v>0.32279999999999998</v>
      </c>
    </row>
    <row r="343" spans="3:14" x14ac:dyDescent="0.25">
      <c r="C343">
        <v>225</v>
      </c>
      <c r="D343" t="s">
        <v>731</v>
      </c>
      <c r="E343">
        <v>19</v>
      </c>
      <c r="F343" t="s">
        <v>764</v>
      </c>
      <c r="G343" s="83">
        <v>17</v>
      </c>
      <c r="H343" s="83">
        <v>32300</v>
      </c>
      <c r="I343" t="s">
        <v>765</v>
      </c>
      <c r="J343" s="83">
        <v>2</v>
      </c>
      <c r="K343" s="83">
        <v>3812.73</v>
      </c>
      <c r="L343" t="s">
        <v>399</v>
      </c>
      <c r="M343">
        <v>28474.54</v>
      </c>
      <c r="N343" s="84">
        <v>0.31219999999999998</v>
      </c>
    </row>
    <row r="344" spans="3:14" x14ac:dyDescent="0.25">
      <c r="C344">
        <v>226</v>
      </c>
      <c r="D344" t="s">
        <v>731</v>
      </c>
      <c r="E344">
        <v>35</v>
      </c>
      <c r="F344" t="s">
        <v>750</v>
      </c>
      <c r="G344" s="83">
        <v>10.1</v>
      </c>
      <c r="H344" s="83">
        <v>35350</v>
      </c>
      <c r="I344" t="s">
        <v>1262</v>
      </c>
      <c r="J344" s="83">
        <v>0.75</v>
      </c>
      <c r="K344" s="83">
        <v>2648.45</v>
      </c>
      <c r="L344" t="s">
        <v>399</v>
      </c>
      <c r="M344">
        <v>32678.1</v>
      </c>
      <c r="N344" s="84">
        <v>0.23400000000000001</v>
      </c>
    </row>
    <row r="345" spans="3:14" x14ac:dyDescent="0.25">
      <c r="C345">
        <v>227</v>
      </c>
      <c r="D345" t="s">
        <v>788</v>
      </c>
      <c r="E345">
        <v>38</v>
      </c>
      <c r="F345" t="s">
        <v>789</v>
      </c>
      <c r="G345" s="83">
        <v>9.1</v>
      </c>
      <c r="H345" s="83">
        <v>34580</v>
      </c>
      <c r="I345" t="s">
        <v>790</v>
      </c>
      <c r="J345" s="83">
        <v>0</v>
      </c>
      <c r="K345" s="83">
        <v>0</v>
      </c>
      <c r="L345" t="s">
        <v>465</v>
      </c>
      <c r="M345">
        <v>34554.54</v>
      </c>
      <c r="N345" s="84">
        <v>0.45689999999999997</v>
      </c>
    </row>
    <row r="346" spans="3:14" x14ac:dyDescent="0.25">
      <c r="C346">
        <v>228</v>
      </c>
      <c r="D346" t="s">
        <v>788</v>
      </c>
      <c r="E346">
        <v>44</v>
      </c>
      <c r="F346" t="s">
        <v>738</v>
      </c>
      <c r="G346" s="83">
        <v>7.4</v>
      </c>
      <c r="H346" s="83">
        <v>32560</v>
      </c>
      <c r="I346" t="s">
        <v>790</v>
      </c>
      <c r="J346" s="83">
        <v>0</v>
      </c>
      <c r="K346" s="83">
        <v>0</v>
      </c>
      <c r="L346" t="s">
        <v>465</v>
      </c>
      <c r="M346">
        <v>32530.52</v>
      </c>
      <c r="N346" s="84">
        <v>0.3589</v>
      </c>
    </row>
    <row r="347" spans="3:14" x14ac:dyDescent="0.25">
      <c r="C347">
        <v>229</v>
      </c>
      <c r="D347" t="s">
        <v>788</v>
      </c>
      <c r="E347">
        <v>47</v>
      </c>
      <c r="F347" t="s">
        <v>743</v>
      </c>
      <c r="G347" s="83">
        <v>6.6</v>
      </c>
      <c r="H347" s="83">
        <v>31020</v>
      </c>
      <c r="I347" t="s">
        <v>790</v>
      </c>
      <c r="J347" s="83">
        <v>0</v>
      </c>
      <c r="K347" s="83">
        <v>0</v>
      </c>
      <c r="L347" t="s">
        <v>465</v>
      </c>
      <c r="M347">
        <v>30988.51</v>
      </c>
      <c r="N347" s="84">
        <v>0.32319999999999999</v>
      </c>
    </row>
    <row r="348" spans="3:14" x14ac:dyDescent="0.25">
      <c r="C348">
        <v>230</v>
      </c>
      <c r="D348" t="s">
        <v>769</v>
      </c>
      <c r="E348">
        <v>52</v>
      </c>
      <c r="F348" t="s">
        <v>758</v>
      </c>
      <c r="G348" s="83">
        <v>6</v>
      </c>
      <c r="H348" s="83">
        <v>31200</v>
      </c>
      <c r="I348" t="s">
        <v>1263</v>
      </c>
      <c r="J348" s="83">
        <v>1.2</v>
      </c>
      <c r="K348" s="83">
        <v>6274.84</v>
      </c>
      <c r="L348" t="s">
        <v>399</v>
      </c>
      <c r="M348">
        <v>24890.32</v>
      </c>
      <c r="N348" s="84">
        <v>7.4800000000000005E-2</v>
      </c>
    </row>
    <row r="349" spans="3:14" x14ac:dyDescent="0.25">
      <c r="C349">
        <v>231</v>
      </c>
      <c r="D349" t="s">
        <v>731</v>
      </c>
      <c r="E349">
        <v>33</v>
      </c>
      <c r="F349" t="s">
        <v>784</v>
      </c>
      <c r="G349" s="83">
        <v>11.4</v>
      </c>
      <c r="H349" s="83">
        <v>37620</v>
      </c>
      <c r="I349" t="s">
        <v>791</v>
      </c>
      <c r="J349" s="83">
        <v>0.75</v>
      </c>
      <c r="K349" s="83">
        <v>2497.11</v>
      </c>
      <c r="L349" t="s">
        <v>399</v>
      </c>
      <c r="M349">
        <v>35100.78</v>
      </c>
      <c r="N349" s="84">
        <v>0.24399999999999999</v>
      </c>
    </row>
    <row r="350" spans="3:14" x14ac:dyDescent="0.25">
      <c r="C350">
        <v>232</v>
      </c>
      <c r="D350" t="s">
        <v>731</v>
      </c>
      <c r="E350">
        <v>37</v>
      </c>
      <c r="F350" t="s">
        <v>792</v>
      </c>
      <c r="G350" s="83">
        <v>10.6</v>
      </c>
      <c r="H350" s="83">
        <v>39220</v>
      </c>
      <c r="I350" t="s">
        <v>793</v>
      </c>
      <c r="J350" s="83">
        <v>0.85</v>
      </c>
      <c r="K350" s="83">
        <v>3169.79</v>
      </c>
      <c r="L350" t="s">
        <v>399</v>
      </c>
      <c r="M350">
        <v>36025.42</v>
      </c>
      <c r="N350" s="84">
        <v>0.21929999999999999</v>
      </c>
    </row>
    <row r="351" spans="3:14" x14ac:dyDescent="0.25">
      <c r="C351">
        <v>233</v>
      </c>
      <c r="D351" t="s">
        <v>773</v>
      </c>
      <c r="E351">
        <v>20</v>
      </c>
      <c r="F351" t="s">
        <v>745</v>
      </c>
      <c r="G351" s="83">
        <v>16.7</v>
      </c>
      <c r="H351" s="83">
        <v>33400</v>
      </c>
      <c r="I351" t="s">
        <v>794</v>
      </c>
      <c r="J351" s="83">
        <v>3</v>
      </c>
      <c r="K351" s="83">
        <v>6013.4</v>
      </c>
      <c r="L351" t="s">
        <v>399</v>
      </c>
      <c r="M351">
        <v>27373.200000000001</v>
      </c>
      <c r="N351" s="84">
        <v>7.6799999999999993E-2</v>
      </c>
    </row>
    <row r="352" spans="3:14" x14ac:dyDescent="0.25">
      <c r="C352">
        <v>234</v>
      </c>
      <c r="D352" t="s">
        <v>773</v>
      </c>
      <c r="E352">
        <v>19</v>
      </c>
      <c r="F352" t="s">
        <v>779</v>
      </c>
      <c r="G352" s="83">
        <v>17.7</v>
      </c>
      <c r="H352" s="83">
        <v>33630</v>
      </c>
      <c r="I352" t="s">
        <v>794</v>
      </c>
      <c r="J352" s="83">
        <v>3.4</v>
      </c>
      <c r="K352" s="83">
        <v>6472.73</v>
      </c>
      <c r="L352" t="s">
        <v>399</v>
      </c>
      <c r="M352">
        <v>27144.54</v>
      </c>
      <c r="N352" s="84">
        <v>7.8399999999999997E-2</v>
      </c>
    </row>
    <row r="353" spans="3:14" x14ac:dyDescent="0.25">
      <c r="C353">
        <v>235</v>
      </c>
      <c r="D353" t="s">
        <v>781</v>
      </c>
      <c r="E353">
        <v>81</v>
      </c>
      <c r="F353" t="s">
        <v>782</v>
      </c>
      <c r="G353" s="83">
        <v>3.8</v>
      </c>
      <c r="H353" s="83">
        <v>30780</v>
      </c>
      <c r="I353" t="s">
        <v>1264</v>
      </c>
      <c r="J353" s="83">
        <v>0.72</v>
      </c>
      <c r="K353" s="83">
        <v>5886.27</v>
      </c>
      <c r="L353" t="s">
        <v>399</v>
      </c>
      <c r="M353">
        <v>24839.46</v>
      </c>
      <c r="N353" s="84">
        <v>8.4699999999999998E-2</v>
      </c>
    </row>
    <row r="354" spans="3:14" x14ac:dyDescent="0.25">
      <c r="C354">
        <v>236</v>
      </c>
      <c r="D354" t="s">
        <v>731</v>
      </c>
      <c r="E354">
        <v>38</v>
      </c>
      <c r="F354" t="s">
        <v>794</v>
      </c>
      <c r="G354" s="83">
        <v>10.7</v>
      </c>
      <c r="H354" s="83">
        <v>40660</v>
      </c>
      <c r="I354" t="s">
        <v>795</v>
      </c>
      <c r="J354" s="83">
        <v>0.8</v>
      </c>
      <c r="K354" s="83">
        <v>3065.46</v>
      </c>
      <c r="L354" t="s">
        <v>399</v>
      </c>
      <c r="M354">
        <v>37569.08</v>
      </c>
      <c r="N354" s="84">
        <v>0.22320000000000001</v>
      </c>
    </row>
    <row r="355" spans="3:14" x14ac:dyDescent="0.25">
      <c r="C355">
        <v>237</v>
      </c>
      <c r="D355" t="s">
        <v>731</v>
      </c>
      <c r="E355">
        <v>29</v>
      </c>
      <c r="F355" t="s">
        <v>748</v>
      </c>
      <c r="G355" s="83">
        <v>12.1</v>
      </c>
      <c r="H355" s="83">
        <v>35090</v>
      </c>
      <c r="I355" t="s">
        <v>796</v>
      </c>
      <c r="J355" s="83">
        <v>0</v>
      </c>
      <c r="K355" s="83">
        <v>0</v>
      </c>
      <c r="L355" t="s">
        <v>465</v>
      </c>
      <c r="M355">
        <v>35070.57</v>
      </c>
      <c r="N355" s="84">
        <v>0.29930000000000001</v>
      </c>
    </row>
    <row r="356" spans="3:14" x14ac:dyDescent="0.25">
      <c r="C356">
        <v>238</v>
      </c>
      <c r="D356" t="s">
        <v>731</v>
      </c>
      <c r="E356">
        <v>20</v>
      </c>
      <c r="F356" t="s">
        <v>787</v>
      </c>
      <c r="G356" s="83">
        <v>18.7</v>
      </c>
      <c r="H356" s="83">
        <v>37400</v>
      </c>
      <c r="I356" t="s">
        <v>796</v>
      </c>
      <c r="J356" s="83">
        <v>0</v>
      </c>
      <c r="K356" s="83">
        <v>0</v>
      </c>
      <c r="L356" t="s">
        <v>465</v>
      </c>
      <c r="M356">
        <v>37386.6</v>
      </c>
      <c r="N356" s="84">
        <v>0.4037</v>
      </c>
    </row>
    <row r="357" spans="3:14" x14ac:dyDescent="0.25">
      <c r="C357">
        <v>239</v>
      </c>
      <c r="D357" t="s">
        <v>797</v>
      </c>
      <c r="E357">
        <v>97</v>
      </c>
      <c r="F357" t="s">
        <v>798</v>
      </c>
      <c r="G357" s="83">
        <v>3.95</v>
      </c>
      <c r="H357" s="83">
        <v>38315</v>
      </c>
      <c r="I357" t="s">
        <v>799</v>
      </c>
      <c r="J357" s="83">
        <v>6.1</v>
      </c>
      <c r="K357" s="83">
        <v>59234.99</v>
      </c>
      <c r="L357" t="s">
        <v>623</v>
      </c>
      <c r="M357">
        <v>-20984.98</v>
      </c>
      <c r="N357" s="84">
        <v>-5.2699999999999997E-2</v>
      </c>
    </row>
    <row r="358" spans="3:14" x14ac:dyDescent="0.25">
      <c r="C358">
        <v>240</v>
      </c>
      <c r="D358" t="s">
        <v>797</v>
      </c>
      <c r="E358">
        <v>96</v>
      </c>
      <c r="F358" t="s">
        <v>800</v>
      </c>
      <c r="G358" s="83">
        <v>4.1500000000000004</v>
      </c>
      <c r="H358" s="83">
        <v>39840</v>
      </c>
      <c r="I358" t="s">
        <v>799</v>
      </c>
      <c r="J358" s="83">
        <v>7.45</v>
      </c>
      <c r="K358" s="83">
        <v>71584.320000000007</v>
      </c>
      <c r="L358" t="s">
        <v>623</v>
      </c>
      <c r="M358">
        <v>-31808.639999999999</v>
      </c>
      <c r="N358" s="84">
        <v>-7.6399999999999996E-2</v>
      </c>
    </row>
    <row r="359" spans="3:14" x14ac:dyDescent="0.25">
      <c r="C359">
        <v>241</v>
      </c>
      <c r="D359" t="s">
        <v>781</v>
      </c>
      <c r="E359">
        <v>85</v>
      </c>
      <c r="F359" t="s">
        <v>783</v>
      </c>
      <c r="G359" s="83">
        <v>3.75</v>
      </c>
      <c r="H359" s="83">
        <v>31875</v>
      </c>
      <c r="I359" t="s">
        <v>834</v>
      </c>
      <c r="J359" s="83">
        <v>0.75</v>
      </c>
      <c r="K359" s="83">
        <v>6431.95</v>
      </c>
      <c r="L359" t="s">
        <v>399</v>
      </c>
      <c r="M359">
        <v>25386.1</v>
      </c>
      <c r="N359" s="84">
        <v>7.8100000000000003E-2</v>
      </c>
    </row>
    <row r="360" spans="3:14" x14ac:dyDescent="0.25">
      <c r="C360">
        <v>242</v>
      </c>
      <c r="D360" t="s">
        <v>766</v>
      </c>
      <c r="E360">
        <v>77</v>
      </c>
      <c r="F360" t="s">
        <v>767</v>
      </c>
      <c r="G360" s="83">
        <v>3.95</v>
      </c>
      <c r="H360" s="83">
        <v>30415</v>
      </c>
      <c r="I360" t="s">
        <v>1265</v>
      </c>
      <c r="J360" s="83">
        <v>0.72</v>
      </c>
      <c r="K360" s="83">
        <v>5595.59</v>
      </c>
      <c r="L360" t="s">
        <v>399</v>
      </c>
      <c r="M360">
        <v>24767.82</v>
      </c>
      <c r="N360" s="84">
        <v>8.3400000000000002E-2</v>
      </c>
    </row>
    <row r="361" spans="3:14" x14ac:dyDescent="0.25">
      <c r="C361">
        <v>243</v>
      </c>
      <c r="D361" t="s">
        <v>773</v>
      </c>
      <c r="E361">
        <v>17</v>
      </c>
      <c r="F361" t="s">
        <v>778</v>
      </c>
      <c r="G361" s="83">
        <v>18</v>
      </c>
      <c r="H361" s="83">
        <v>30600</v>
      </c>
      <c r="I361" t="s">
        <v>870</v>
      </c>
      <c r="J361" s="83">
        <v>3.4</v>
      </c>
      <c r="K361" s="83">
        <v>5791.39</v>
      </c>
      <c r="L361" t="s">
        <v>399</v>
      </c>
      <c r="M361">
        <v>24797.22</v>
      </c>
      <c r="N361" s="84">
        <v>8.48E-2</v>
      </c>
    </row>
    <row r="362" spans="3:14" x14ac:dyDescent="0.25">
      <c r="C362">
        <v>244</v>
      </c>
      <c r="D362" t="s">
        <v>773</v>
      </c>
      <c r="E362">
        <v>20</v>
      </c>
      <c r="F362" t="s">
        <v>775</v>
      </c>
      <c r="G362" s="83">
        <v>16.399999999999999</v>
      </c>
      <c r="H362" s="83">
        <v>32800</v>
      </c>
      <c r="I362" t="s">
        <v>870</v>
      </c>
      <c r="J362" s="83">
        <v>3</v>
      </c>
      <c r="K362" s="83">
        <v>6013.4</v>
      </c>
      <c r="L362" t="s">
        <v>399</v>
      </c>
      <c r="M362">
        <v>26773.200000000001</v>
      </c>
      <c r="N362" s="84">
        <v>7.9399999999999998E-2</v>
      </c>
    </row>
    <row r="363" spans="3:14" x14ac:dyDescent="0.25">
      <c r="C363">
        <v>245</v>
      </c>
      <c r="D363" t="s">
        <v>773</v>
      </c>
      <c r="E363">
        <v>17</v>
      </c>
      <c r="F363" t="s">
        <v>776</v>
      </c>
      <c r="G363" s="83">
        <v>18.399999999999999</v>
      </c>
      <c r="H363" s="83">
        <v>31280</v>
      </c>
      <c r="I363" t="s">
        <v>1266</v>
      </c>
      <c r="J363" s="83">
        <v>3.5</v>
      </c>
      <c r="K363" s="83">
        <v>5961.39</v>
      </c>
      <c r="L363" t="s">
        <v>399</v>
      </c>
      <c r="M363">
        <v>25307.22</v>
      </c>
      <c r="N363" s="84">
        <v>8.43E-2</v>
      </c>
    </row>
    <row r="364" spans="3:14" x14ac:dyDescent="0.25">
      <c r="C364">
        <v>246</v>
      </c>
      <c r="D364" t="s">
        <v>773</v>
      </c>
      <c r="E364">
        <v>17</v>
      </c>
      <c r="F364" t="s">
        <v>780</v>
      </c>
      <c r="G364" s="83">
        <v>19.399999999999999</v>
      </c>
      <c r="H364" s="83">
        <v>32980</v>
      </c>
      <c r="I364" t="s">
        <v>1267</v>
      </c>
      <c r="J364" s="83">
        <v>3.7</v>
      </c>
      <c r="K364" s="83">
        <v>6301.39</v>
      </c>
      <c r="L364" t="s">
        <v>399</v>
      </c>
      <c r="M364">
        <v>26667.22</v>
      </c>
      <c r="N364" s="84">
        <v>8.6900000000000005E-2</v>
      </c>
    </row>
    <row r="365" spans="3:14" x14ac:dyDescent="0.25">
      <c r="C365">
        <v>247</v>
      </c>
      <c r="D365" t="s">
        <v>785</v>
      </c>
      <c r="E365">
        <v>43</v>
      </c>
      <c r="F365" t="s">
        <v>786</v>
      </c>
      <c r="G365" s="83">
        <v>6.85</v>
      </c>
      <c r="H365" s="83">
        <v>29455</v>
      </c>
      <c r="I365" t="s">
        <v>809</v>
      </c>
      <c r="J365" s="83">
        <v>1.27</v>
      </c>
      <c r="K365" s="83">
        <v>5489.81</v>
      </c>
      <c r="L365" t="s">
        <v>399</v>
      </c>
      <c r="M365">
        <v>23936.38</v>
      </c>
      <c r="N365" s="84">
        <v>7.6100000000000001E-2</v>
      </c>
    </row>
    <row r="366" spans="3:14" x14ac:dyDescent="0.25">
      <c r="C366">
        <v>248</v>
      </c>
      <c r="D366" t="s">
        <v>769</v>
      </c>
      <c r="E366">
        <v>51</v>
      </c>
      <c r="F366" t="s">
        <v>771</v>
      </c>
      <c r="G366" s="83">
        <v>6</v>
      </c>
      <c r="H366" s="83">
        <v>30600</v>
      </c>
      <c r="I366" t="s">
        <v>835</v>
      </c>
      <c r="J366" s="83">
        <v>1.05</v>
      </c>
      <c r="K366" s="83">
        <v>5389.17</v>
      </c>
      <c r="L366" t="s">
        <v>399</v>
      </c>
      <c r="M366">
        <v>25176.66</v>
      </c>
      <c r="N366" s="84">
        <v>7.7100000000000002E-2</v>
      </c>
    </row>
    <row r="367" spans="3:14" x14ac:dyDescent="0.25">
      <c r="C367">
        <v>249</v>
      </c>
      <c r="D367" t="s">
        <v>788</v>
      </c>
      <c r="E367">
        <v>38</v>
      </c>
      <c r="F367" t="s">
        <v>819</v>
      </c>
      <c r="G367" s="83">
        <v>9</v>
      </c>
      <c r="H367" s="83">
        <v>34200</v>
      </c>
      <c r="I367" t="s">
        <v>820</v>
      </c>
      <c r="J367" s="83">
        <v>0</v>
      </c>
      <c r="K367" s="83">
        <v>0</v>
      </c>
      <c r="L367" t="s">
        <v>465</v>
      </c>
      <c r="M367">
        <v>34174.54</v>
      </c>
      <c r="N367" s="84">
        <v>0.44969999999999999</v>
      </c>
    </row>
    <row r="368" spans="3:14" x14ac:dyDescent="0.25">
      <c r="C368">
        <v>250</v>
      </c>
      <c r="D368" t="s">
        <v>788</v>
      </c>
      <c r="E368">
        <v>75</v>
      </c>
      <c r="F368" t="s">
        <v>723</v>
      </c>
      <c r="G368" s="83">
        <v>4.9000000000000004</v>
      </c>
      <c r="H368" s="83">
        <v>36750</v>
      </c>
      <c r="I368" t="s">
        <v>820</v>
      </c>
      <c r="J368" s="83">
        <v>0</v>
      </c>
      <c r="K368" s="83">
        <v>0</v>
      </c>
      <c r="L368" t="s">
        <v>465</v>
      </c>
      <c r="M368">
        <v>36699.75</v>
      </c>
      <c r="N368" s="84">
        <v>0.25619999999999998</v>
      </c>
    </row>
    <row r="369" spans="3:14" x14ac:dyDescent="0.25">
      <c r="C369">
        <v>251</v>
      </c>
      <c r="D369" t="s">
        <v>788</v>
      </c>
      <c r="E369">
        <v>50</v>
      </c>
      <c r="F369" t="s">
        <v>725</v>
      </c>
      <c r="G369" s="83">
        <v>6.7</v>
      </c>
      <c r="H369" s="83">
        <v>33500</v>
      </c>
      <c r="I369" t="s">
        <v>820</v>
      </c>
      <c r="J369" s="83">
        <v>0</v>
      </c>
      <c r="K369" s="83">
        <v>0</v>
      </c>
      <c r="L369" t="s">
        <v>465</v>
      </c>
      <c r="M369">
        <v>33466.5</v>
      </c>
      <c r="N369" s="84">
        <v>0.31419999999999998</v>
      </c>
    </row>
    <row r="370" spans="3:14" x14ac:dyDescent="0.25">
      <c r="C370">
        <v>252</v>
      </c>
      <c r="D370" t="s">
        <v>788</v>
      </c>
      <c r="E370">
        <v>43</v>
      </c>
      <c r="F370" t="s">
        <v>821</v>
      </c>
      <c r="G370" s="83">
        <v>7.1</v>
      </c>
      <c r="H370" s="83">
        <v>30530</v>
      </c>
      <c r="I370" t="s">
        <v>820</v>
      </c>
      <c r="J370" s="83">
        <v>0</v>
      </c>
      <c r="K370" s="83">
        <v>0</v>
      </c>
      <c r="L370" t="s">
        <v>465</v>
      </c>
      <c r="M370">
        <v>30501.19</v>
      </c>
      <c r="N370" s="84">
        <v>0.35639999999999999</v>
      </c>
    </row>
    <row r="371" spans="3:14" x14ac:dyDescent="0.25">
      <c r="C371">
        <v>253</v>
      </c>
      <c r="D371" t="s">
        <v>635</v>
      </c>
      <c r="E371">
        <v>18</v>
      </c>
      <c r="F371" t="s">
        <v>825</v>
      </c>
      <c r="G371" s="83">
        <v>27.6</v>
      </c>
      <c r="H371" s="83">
        <v>49680</v>
      </c>
      <c r="I371" t="s">
        <v>826</v>
      </c>
      <c r="J371" s="83">
        <v>1.1499999999999999</v>
      </c>
      <c r="K371" s="83">
        <v>2082.06</v>
      </c>
      <c r="L371" t="s">
        <v>399</v>
      </c>
      <c r="M371">
        <v>47585.88</v>
      </c>
      <c r="N371" s="84">
        <v>0.2462</v>
      </c>
    </row>
    <row r="372" spans="3:14" x14ac:dyDescent="0.25">
      <c r="C372">
        <v>254</v>
      </c>
      <c r="D372" t="s">
        <v>831</v>
      </c>
      <c r="E372">
        <v>105</v>
      </c>
      <c r="F372" t="s">
        <v>832</v>
      </c>
      <c r="G372" s="83">
        <v>4</v>
      </c>
      <c r="H372" s="83">
        <v>42000</v>
      </c>
      <c r="I372" t="s">
        <v>833</v>
      </c>
      <c r="J372" s="83">
        <v>5.5</v>
      </c>
      <c r="K372" s="83">
        <v>57820.35</v>
      </c>
      <c r="L372" t="s">
        <v>623</v>
      </c>
      <c r="M372">
        <v>-15890.7</v>
      </c>
      <c r="N372" s="84">
        <v>-4.8800000000000003E-2</v>
      </c>
    </row>
    <row r="373" spans="3:14" x14ac:dyDescent="0.25">
      <c r="C373">
        <v>255</v>
      </c>
      <c r="D373" t="s">
        <v>831</v>
      </c>
      <c r="E373">
        <v>117</v>
      </c>
      <c r="F373" t="s">
        <v>834</v>
      </c>
      <c r="G373" s="83">
        <v>3.6</v>
      </c>
      <c r="H373" s="83">
        <v>42120</v>
      </c>
      <c r="I373" t="s">
        <v>833</v>
      </c>
      <c r="J373" s="83">
        <v>4.5999999999999996</v>
      </c>
      <c r="K373" s="83">
        <v>53898.39</v>
      </c>
      <c r="L373" t="s">
        <v>623</v>
      </c>
      <c r="M373">
        <v>-11856.78</v>
      </c>
      <c r="N373" s="84">
        <v>-3.2300000000000002E-2</v>
      </c>
    </row>
    <row r="374" spans="3:14" x14ac:dyDescent="0.25">
      <c r="C374">
        <v>256</v>
      </c>
      <c r="D374" t="s">
        <v>831</v>
      </c>
      <c r="E374">
        <v>124</v>
      </c>
      <c r="F374" t="s">
        <v>835</v>
      </c>
      <c r="G374" s="83">
        <v>3.7</v>
      </c>
      <c r="H374" s="83">
        <v>45880</v>
      </c>
      <c r="I374" t="s">
        <v>833</v>
      </c>
      <c r="J374" s="83">
        <v>6</v>
      </c>
      <c r="K374" s="83">
        <v>74483.08</v>
      </c>
      <c r="L374" t="s">
        <v>623</v>
      </c>
      <c r="M374">
        <v>-28686.16</v>
      </c>
      <c r="N374" s="84">
        <v>-7.1599999999999997E-2</v>
      </c>
    </row>
    <row r="375" spans="3:14" x14ac:dyDescent="0.25">
      <c r="C375">
        <v>257</v>
      </c>
      <c r="D375" t="s">
        <v>773</v>
      </c>
      <c r="E375">
        <v>23</v>
      </c>
      <c r="F375" t="s">
        <v>818</v>
      </c>
      <c r="G375" s="83">
        <v>17.8</v>
      </c>
      <c r="H375" s="83">
        <v>40940</v>
      </c>
      <c r="I375" t="s">
        <v>863</v>
      </c>
      <c r="J375" s="83">
        <v>26.4</v>
      </c>
      <c r="K375" s="83">
        <v>60735.41</v>
      </c>
      <c r="L375" t="s">
        <v>623</v>
      </c>
      <c r="M375">
        <v>-19810.82</v>
      </c>
      <c r="N375" s="84">
        <v>-4.48E-2</v>
      </c>
    </row>
    <row r="376" spans="3:14" x14ac:dyDescent="0.25">
      <c r="C376">
        <v>258</v>
      </c>
      <c r="D376" t="s">
        <v>769</v>
      </c>
      <c r="E376">
        <v>56</v>
      </c>
      <c r="F376" t="s">
        <v>796</v>
      </c>
      <c r="G376" s="83">
        <v>7.4</v>
      </c>
      <c r="H376" s="83">
        <v>41440</v>
      </c>
      <c r="I376" t="s">
        <v>836</v>
      </c>
      <c r="J376" s="83">
        <v>9</v>
      </c>
      <c r="K376" s="83">
        <v>50437.52</v>
      </c>
      <c r="L376" t="s">
        <v>623</v>
      </c>
      <c r="M376">
        <v>-9035.0400000000009</v>
      </c>
      <c r="N376" s="84">
        <v>-2.2200000000000001E-2</v>
      </c>
    </row>
    <row r="377" spans="3:14" x14ac:dyDescent="0.25">
      <c r="C377">
        <v>259</v>
      </c>
      <c r="D377" t="s">
        <v>769</v>
      </c>
      <c r="E377">
        <v>61</v>
      </c>
      <c r="F377" t="s">
        <v>837</v>
      </c>
      <c r="G377" s="83">
        <v>7</v>
      </c>
      <c r="H377" s="83">
        <v>42700</v>
      </c>
      <c r="I377" t="s">
        <v>836</v>
      </c>
      <c r="J377" s="83">
        <v>10.199999999999999</v>
      </c>
      <c r="K377" s="83">
        <v>62260.87</v>
      </c>
      <c r="L377" t="s">
        <v>623</v>
      </c>
      <c r="M377">
        <v>-19601.740000000002</v>
      </c>
      <c r="N377" s="84">
        <v>-4.2599999999999999E-2</v>
      </c>
    </row>
    <row r="378" spans="3:14" x14ac:dyDescent="0.25">
      <c r="C378">
        <v>260</v>
      </c>
      <c r="D378" t="s">
        <v>589</v>
      </c>
      <c r="E378">
        <v>20</v>
      </c>
      <c r="F378" t="s">
        <v>829</v>
      </c>
      <c r="G378" s="83">
        <v>20</v>
      </c>
      <c r="H378" s="83">
        <v>40000</v>
      </c>
      <c r="I378" t="s">
        <v>1268</v>
      </c>
      <c r="J378" s="83">
        <v>21.4</v>
      </c>
      <c r="K378" s="83">
        <v>42813.4</v>
      </c>
      <c r="L378" t="s">
        <v>623</v>
      </c>
      <c r="M378">
        <v>-2826.8</v>
      </c>
      <c r="N378" s="84">
        <v>-7.9000000000000008E-3</v>
      </c>
    </row>
    <row r="379" spans="3:14" x14ac:dyDescent="0.25">
      <c r="C379">
        <v>261</v>
      </c>
      <c r="D379" t="s">
        <v>589</v>
      </c>
      <c r="E379">
        <v>18</v>
      </c>
      <c r="F379" t="s">
        <v>822</v>
      </c>
      <c r="G379" s="83">
        <v>21.25</v>
      </c>
      <c r="H379" s="83">
        <v>38250</v>
      </c>
      <c r="I379" t="s">
        <v>1268</v>
      </c>
      <c r="J379" s="83">
        <v>19.55</v>
      </c>
      <c r="K379" s="83">
        <v>35202.06</v>
      </c>
      <c r="L379" t="s">
        <v>623</v>
      </c>
      <c r="M379">
        <v>3035.88</v>
      </c>
      <c r="N379" s="84">
        <v>9.7000000000000003E-3</v>
      </c>
    </row>
    <row r="380" spans="3:14" x14ac:dyDescent="0.25">
      <c r="C380">
        <v>262</v>
      </c>
      <c r="D380" t="s">
        <v>589</v>
      </c>
      <c r="E380">
        <v>20</v>
      </c>
      <c r="F380" t="s">
        <v>824</v>
      </c>
      <c r="G380" s="83">
        <v>19.2</v>
      </c>
      <c r="H380" s="83">
        <v>38400</v>
      </c>
      <c r="I380" t="s">
        <v>1268</v>
      </c>
      <c r="J380" s="83">
        <v>17.75</v>
      </c>
      <c r="K380" s="83">
        <v>35513.4</v>
      </c>
      <c r="L380" t="s">
        <v>623</v>
      </c>
      <c r="M380">
        <v>2873.2</v>
      </c>
      <c r="N380" s="84">
        <v>8.3999999999999995E-3</v>
      </c>
    </row>
    <row r="381" spans="3:14" x14ac:dyDescent="0.25">
      <c r="C381">
        <v>263</v>
      </c>
      <c r="D381" t="s">
        <v>589</v>
      </c>
      <c r="E381">
        <v>17</v>
      </c>
      <c r="F381" t="s">
        <v>802</v>
      </c>
      <c r="G381" s="83">
        <v>23</v>
      </c>
      <c r="H381" s="83">
        <v>39100</v>
      </c>
      <c r="I381" t="s">
        <v>1268</v>
      </c>
      <c r="J381" s="83">
        <v>16.100000000000001</v>
      </c>
      <c r="K381" s="83">
        <v>27381.39</v>
      </c>
      <c r="L381" t="s">
        <v>623</v>
      </c>
      <c r="M381">
        <v>11707.22</v>
      </c>
      <c r="N381" s="84">
        <v>4.2500000000000003E-2</v>
      </c>
    </row>
    <row r="382" spans="3:14" x14ac:dyDescent="0.25">
      <c r="C382">
        <v>264</v>
      </c>
      <c r="D382" t="s">
        <v>589</v>
      </c>
      <c r="E382">
        <v>20</v>
      </c>
      <c r="F382" t="s">
        <v>806</v>
      </c>
      <c r="G382" s="83">
        <v>19.899999999999999</v>
      </c>
      <c r="H382" s="83">
        <v>39800</v>
      </c>
      <c r="I382" t="s">
        <v>1268</v>
      </c>
      <c r="J382" s="83">
        <v>14.55</v>
      </c>
      <c r="K382" s="83">
        <v>29113.4</v>
      </c>
      <c r="L382" t="s">
        <v>623</v>
      </c>
      <c r="M382">
        <v>10673.2</v>
      </c>
      <c r="N382" s="84">
        <v>3.3300000000000003E-2</v>
      </c>
    </row>
    <row r="383" spans="3:14" x14ac:dyDescent="0.25">
      <c r="C383">
        <v>265</v>
      </c>
      <c r="D383" t="s">
        <v>589</v>
      </c>
      <c r="E383">
        <v>19</v>
      </c>
      <c r="F383" t="s">
        <v>804</v>
      </c>
      <c r="G383" s="83">
        <v>20</v>
      </c>
      <c r="H383" s="83">
        <v>38000</v>
      </c>
      <c r="I383" t="s">
        <v>1268</v>
      </c>
      <c r="J383" s="83">
        <v>13.05</v>
      </c>
      <c r="K383" s="83">
        <v>24807.73</v>
      </c>
      <c r="L383" t="s">
        <v>623</v>
      </c>
      <c r="M383">
        <v>13179.54</v>
      </c>
      <c r="N383" s="84">
        <v>4.48E-2</v>
      </c>
    </row>
    <row r="384" spans="3:14" x14ac:dyDescent="0.25">
      <c r="C384">
        <v>266</v>
      </c>
      <c r="D384" t="s">
        <v>589</v>
      </c>
      <c r="E384">
        <v>22</v>
      </c>
      <c r="F384" t="s">
        <v>805</v>
      </c>
      <c r="G384" s="83">
        <v>17.649999999999999</v>
      </c>
      <c r="H384" s="83">
        <v>38830</v>
      </c>
      <c r="I384" t="s">
        <v>1268</v>
      </c>
      <c r="J384" s="83">
        <v>11.75</v>
      </c>
      <c r="K384" s="83">
        <v>25864.74</v>
      </c>
      <c r="L384" t="s">
        <v>623</v>
      </c>
      <c r="M384">
        <v>12950.52</v>
      </c>
      <c r="N384" s="84">
        <v>3.8600000000000002E-2</v>
      </c>
    </row>
    <row r="385" spans="3:14" x14ac:dyDescent="0.25">
      <c r="C385">
        <v>267</v>
      </c>
      <c r="D385" t="s">
        <v>785</v>
      </c>
      <c r="E385">
        <v>51</v>
      </c>
      <c r="F385" t="s">
        <v>812</v>
      </c>
      <c r="G385" s="83">
        <v>7.9</v>
      </c>
      <c r="H385" s="83">
        <v>40290</v>
      </c>
      <c r="I385" t="s">
        <v>849</v>
      </c>
      <c r="J385" s="83">
        <v>1.57</v>
      </c>
      <c r="K385" s="83">
        <v>8041.17</v>
      </c>
      <c r="L385" t="s">
        <v>399</v>
      </c>
      <c r="M385">
        <v>32214.66</v>
      </c>
      <c r="N385" s="84">
        <v>7.6899999999999996E-2</v>
      </c>
    </row>
    <row r="386" spans="3:14" x14ac:dyDescent="0.25">
      <c r="C386">
        <v>268</v>
      </c>
      <c r="D386" t="s">
        <v>860</v>
      </c>
      <c r="E386">
        <v>34</v>
      </c>
      <c r="F386" t="s">
        <v>861</v>
      </c>
      <c r="G386" s="83">
        <v>12</v>
      </c>
      <c r="H386" s="83">
        <v>40800</v>
      </c>
      <c r="I386" t="s">
        <v>862</v>
      </c>
      <c r="J386" s="83">
        <v>0</v>
      </c>
      <c r="K386" s="83">
        <v>0</v>
      </c>
      <c r="L386" t="s">
        <v>465</v>
      </c>
      <c r="M386">
        <v>40777.22</v>
      </c>
      <c r="N386" s="84">
        <v>0.3634</v>
      </c>
    </row>
    <row r="387" spans="3:14" x14ac:dyDescent="0.25">
      <c r="C387">
        <v>269</v>
      </c>
      <c r="D387" t="s">
        <v>814</v>
      </c>
      <c r="E387">
        <v>84</v>
      </c>
      <c r="F387" t="s">
        <v>815</v>
      </c>
      <c r="G387" s="83">
        <v>4.8</v>
      </c>
      <c r="H387" s="83">
        <v>40320</v>
      </c>
      <c r="I387" t="s">
        <v>865</v>
      </c>
      <c r="J387" s="83">
        <v>0.77</v>
      </c>
      <c r="K387" s="83">
        <v>6524.28</v>
      </c>
      <c r="L387" t="s">
        <v>399</v>
      </c>
      <c r="M387">
        <v>33739.440000000002</v>
      </c>
      <c r="N387" s="84">
        <v>8.8900000000000007E-2</v>
      </c>
    </row>
    <row r="388" spans="3:14" x14ac:dyDescent="0.25">
      <c r="C388">
        <v>270</v>
      </c>
      <c r="D388" t="s">
        <v>407</v>
      </c>
      <c r="E388">
        <v>23</v>
      </c>
      <c r="F388" t="s">
        <v>857</v>
      </c>
      <c r="G388" s="83">
        <v>19.55</v>
      </c>
      <c r="H388" s="83">
        <v>44965</v>
      </c>
      <c r="I388" t="s">
        <v>1269</v>
      </c>
      <c r="J388" s="83">
        <v>3.7</v>
      </c>
      <c r="K388" s="83">
        <v>8525.41</v>
      </c>
      <c r="L388" t="s">
        <v>399</v>
      </c>
      <c r="M388">
        <v>36424.18</v>
      </c>
      <c r="N388" s="84">
        <v>7.9000000000000001E-2</v>
      </c>
    </row>
    <row r="389" spans="3:14" x14ac:dyDescent="0.25">
      <c r="C389">
        <v>271</v>
      </c>
      <c r="D389" t="s">
        <v>814</v>
      </c>
      <c r="E389">
        <v>86</v>
      </c>
      <c r="F389" t="s">
        <v>828</v>
      </c>
      <c r="G389" s="83">
        <v>4.7</v>
      </c>
      <c r="H389" s="83">
        <v>40420</v>
      </c>
      <c r="I389" t="s">
        <v>1270</v>
      </c>
      <c r="J389" s="83">
        <v>0.94</v>
      </c>
      <c r="K389" s="83">
        <v>8141.62</v>
      </c>
      <c r="L389" t="s">
        <v>399</v>
      </c>
      <c r="M389">
        <v>32220.76</v>
      </c>
      <c r="N389" s="84">
        <v>7.4499999999999997E-2</v>
      </c>
    </row>
    <row r="390" spans="3:14" x14ac:dyDescent="0.25">
      <c r="C390">
        <v>272</v>
      </c>
      <c r="D390" t="s">
        <v>814</v>
      </c>
      <c r="E390">
        <v>99</v>
      </c>
      <c r="F390" t="s">
        <v>795</v>
      </c>
      <c r="G390" s="83">
        <v>4.2</v>
      </c>
      <c r="H390" s="83">
        <v>41580</v>
      </c>
      <c r="I390" t="s">
        <v>1271</v>
      </c>
      <c r="J390" s="83">
        <v>0.81</v>
      </c>
      <c r="K390" s="83">
        <v>8085.33</v>
      </c>
      <c r="L390" t="s">
        <v>399</v>
      </c>
      <c r="M390">
        <v>33428.339999999997</v>
      </c>
      <c r="N390" s="84">
        <v>7.3700000000000002E-2</v>
      </c>
    </row>
    <row r="391" spans="3:14" x14ac:dyDescent="0.25">
      <c r="C391">
        <v>273</v>
      </c>
      <c r="D391" t="s">
        <v>814</v>
      </c>
      <c r="E391">
        <v>65</v>
      </c>
      <c r="F391" t="s">
        <v>793</v>
      </c>
      <c r="G391" s="83">
        <v>6.2</v>
      </c>
      <c r="H391" s="83">
        <v>40300</v>
      </c>
      <c r="I391" t="s">
        <v>869</v>
      </c>
      <c r="J391" s="83">
        <v>1.1200000000000001</v>
      </c>
      <c r="K391" s="83">
        <v>7323.55</v>
      </c>
      <c r="L391" t="s">
        <v>399</v>
      </c>
      <c r="M391">
        <v>32932.9</v>
      </c>
      <c r="N391" s="84">
        <v>0.1038</v>
      </c>
    </row>
    <row r="392" spans="3:14" x14ac:dyDescent="0.25">
      <c r="C392">
        <v>274</v>
      </c>
      <c r="D392" t="s">
        <v>814</v>
      </c>
      <c r="E392">
        <v>91</v>
      </c>
      <c r="F392" t="s">
        <v>853</v>
      </c>
      <c r="G392" s="83">
        <v>4.5999999999999996</v>
      </c>
      <c r="H392" s="83">
        <v>41860</v>
      </c>
      <c r="I392" t="s">
        <v>869</v>
      </c>
      <c r="J392" s="83">
        <v>0.9</v>
      </c>
      <c r="K392" s="83">
        <v>8250.9699999999993</v>
      </c>
      <c r="L392" t="s">
        <v>399</v>
      </c>
      <c r="M392">
        <v>33548.06</v>
      </c>
      <c r="N392" s="84">
        <v>8.1199999999999994E-2</v>
      </c>
    </row>
    <row r="393" spans="3:14" x14ac:dyDescent="0.25">
      <c r="C393">
        <v>275</v>
      </c>
      <c r="D393" t="s">
        <v>814</v>
      </c>
      <c r="E393">
        <v>73</v>
      </c>
      <c r="F393" t="s">
        <v>864</v>
      </c>
      <c r="G393" s="83">
        <v>5.6</v>
      </c>
      <c r="H393" s="83">
        <v>40880</v>
      </c>
      <c r="I393" t="s">
        <v>1272</v>
      </c>
      <c r="J393" s="83">
        <v>0.88</v>
      </c>
      <c r="K393" s="83">
        <v>6472.91</v>
      </c>
      <c r="L393" t="s">
        <v>399</v>
      </c>
      <c r="M393">
        <v>34358.18</v>
      </c>
      <c r="N393" s="84">
        <v>9.5299999999999996E-2</v>
      </c>
    </row>
    <row r="394" spans="3:14" x14ac:dyDescent="0.25">
      <c r="C394">
        <v>276</v>
      </c>
      <c r="D394" t="s">
        <v>766</v>
      </c>
      <c r="E394">
        <v>90</v>
      </c>
      <c r="F394" t="s">
        <v>811</v>
      </c>
      <c r="G394" s="83">
        <v>4.3499999999999996</v>
      </c>
      <c r="H394" s="83">
        <v>39150</v>
      </c>
      <c r="I394" t="s">
        <v>1273</v>
      </c>
      <c r="J394" s="83">
        <v>0.82</v>
      </c>
      <c r="K394" s="83">
        <v>7440.3</v>
      </c>
      <c r="L394" t="s">
        <v>399</v>
      </c>
      <c r="M394">
        <v>31649.4</v>
      </c>
      <c r="N394" s="84">
        <v>7.6999999999999999E-2</v>
      </c>
    </row>
    <row r="395" spans="3:14" x14ac:dyDescent="0.25">
      <c r="C395">
        <v>277</v>
      </c>
      <c r="D395" t="s">
        <v>781</v>
      </c>
      <c r="E395">
        <v>105</v>
      </c>
      <c r="F395" t="s">
        <v>838</v>
      </c>
      <c r="G395" s="83">
        <v>4.2</v>
      </c>
      <c r="H395" s="83">
        <v>44100</v>
      </c>
      <c r="I395" t="s">
        <v>898</v>
      </c>
      <c r="J395" s="83">
        <v>3.85</v>
      </c>
      <c r="K395" s="83">
        <v>40495.35</v>
      </c>
      <c r="L395" t="s">
        <v>623</v>
      </c>
      <c r="M395">
        <v>3534.3</v>
      </c>
      <c r="N395" s="84">
        <v>7.3000000000000001E-3</v>
      </c>
    </row>
    <row r="396" spans="3:14" x14ac:dyDescent="0.25">
      <c r="C396">
        <v>278</v>
      </c>
      <c r="D396" t="s">
        <v>855</v>
      </c>
      <c r="E396">
        <v>14</v>
      </c>
      <c r="F396" t="s">
        <v>868</v>
      </c>
      <c r="G396" s="83">
        <v>28.9</v>
      </c>
      <c r="H396" s="83">
        <v>40460</v>
      </c>
      <c r="I396" t="s">
        <v>874</v>
      </c>
      <c r="J396" s="83">
        <v>24</v>
      </c>
      <c r="K396" s="83">
        <v>33609.379999999997</v>
      </c>
      <c r="L396" t="s">
        <v>623</v>
      </c>
      <c r="M396">
        <v>6841.24</v>
      </c>
      <c r="N396" s="84">
        <v>1.8700000000000001E-2</v>
      </c>
    </row>
    <row r="397" spans="3:14" x14ac:dyDescent="0.25">
      <c r="C397">
        <v>279</v>
      </c>
      <c r="D397" t="s">
        <v>855</v>
      </c>
      <c r="E397">
        <v>16</v>
      </c>
      <c r="F397" t="s">
        <v>870</v>
      </c>
      <c r="G397" s="83">
        <v>26.4</v>
      </c>
      <c r="H397" s="83">
        <v>42240</v>
      </c>
      <c r="I397" t="s">
        <v>874</v>
      </c>
      <c r="J397" s="83">
        <v>20</v>
      </c>
      <c r="K397" s="83">
        <v>32010.720000000001</v>
      </c>
      <c r="L397" t="s">
        <v>623</v>
      </c>
      <c r="M397">
        <v>10218.56</v>
      </c>
      <c r="N397" s="84">
        <v>2.52E-2</v>
      </c>
    </row>
    <row r="398" spans="3:14" x14ac:dyDescent="0.25">
      <c r="C398">
        <v>280</v>
      </c>
      <c r="D398" t="s">
        <v>855</v>
      </c>
      <c r="E398">
        <v>18</v>
      </c>
      <c r="F398" t="s">
        <v>803</v>
      </c>
      <c r="G398" s="83">
        <v>23.8</v>
      </c>
      <c r="H398" s="83">
        <v>42840</v>
      </c>
      <c r="I398" t="s">
        <v>874</v>
      </c>
      <c r="J398" s="83">
        <v>16.8</v>
      </c>
      <c r="K398" s="83">
        <v>30252.06</v>
      </c>
      <c r="L398" t="s">
        <v>623</v>
      </c>
      <c r="M398">
        <v>12575.88</v>
      </c>
      <c r="N398" s="84">
        <v>2.8400000000000002E-2</v>
      </c>
    </row>
    <row r="399" spans="3:14" x14ac:dyDescent="0.25">
      <c r="C399">
        <v>281</v>
      </c>
      <c r="D399" t="s">
        <v>855</v>
      </c>
      <c r="E399">
        <v>18</v>
      </c>
      <c r="F399" t="s">
        <v>817</v>
      </c>
      <c r="G399" s="83">
        <v>25.6</v>
      </c>
      <c r="H399" s="83">
        <v>46080</v>
      </c>
      <c r="I399" t="s">
        <v>874</v>
      </c>
      <c r="J399" s="83">
        <v>28</v>
      </c>
      <c r="K399" s="83">
        <v>50412.06</v>
      </c>
      <c r="L399" t="s">
        <v>623</v>
      </c>
      <c r="M399">
        <v>-4344.12</v>
      </c>
      <c r="N399" s="84">
        <v>-8.8000000000000005E-3</v>
      </c>
    </row>
    <row r="400" spans="3:14" x14ac:dyDescent="0.25">
      <c r="C400">
        <v>282</v>
      </c>
      <c r="D400" t="s">
        <v>669</v>
      </c>
      <c r="E400">
        <v>36</v>
      </c>
      <c r="F400" t="s">
        <v>856</v>
      </c>
      <c r="G400" s="83">
        <v>12.6</v>
      </c>
      <c r="H400" s="83">
        <v>45360</v>
      </c>
      <c r="I400" t="s">
        <v>874</v>
      </c>
      <c r="J400" s="83">
        <v>12.75</v>
      </c>
      <c r="K400" s="83">
        <v>45924.12</v>
      </c>
      <c r="L400" t="s">
        <v>395</v>
      </c>
      <c r="M400">
        <v>-588.24</v>
      </c>
      <c r="N400" s="84">
        <v>-1.4E-3</v>
      </c>
    </row>
    <row r="401" spans="3:14" x14ac:dyDescent="0.25">
      <c r="C401">
        <v>283</v>
      </c>
      <c r="D401" t="s">
        <v>669</v>
      </c>
      <c r="E401">
        <v>36</v>
      </c>
      <c r="F401" t="s">
        <v>820</v>
      </c>
      <c r="G401" s="83">
        <v>13.35</v>
      </c>
      <c r="H401" s="83">
        <v>48060</v>
      </c>
      <c r="I401" t="s">
        <v>874</v>
      </c>
      <c r="J401" s="83">
        <v>14.95</v>
      </c>
      <c r="K401" s="83">
        <v>53844.12</v>
      </c>
      <c r="L401" t="s">
        <v>395</v>
      </c>
      <c r="M401">
        <v>-5808.24</v>
      </c>
      <c r="N401" s="84">
        <v>-1.3299999999999999E-2</v>
      </c>
    </row>
    <row r="402" spans="3:14" x14ac:dyDescent="0.25">
      <c r="C402">
        <v>284</v>
      </c>
      <c r="D402" t="s">
        <v>669</v>
      </c>
      <c r="E402">
        <v>37</v>
      </c>
      <c r="F402" t="s">
        <v>848</v>
      </c>
      <c r="G402" s="83">
        <v>13.1</v>
      </c>
      <c r="H402" s="83">
        <v>48470</v>
      </c>
      <c r="I402" t="s">
        <v>874</v>
      </c>
      <c r="J402" s="83">
        <v>13.4</v>
      </c>
      <c r="K402" s="83">
        <v>49604.79</v>
      </c>
      <c r="L402" t="s">
        <v>395</v>
      </c>
      <c r="M402">
        <v>-1159.58</v>
      </c>
      <c r="N402" s="84">
        <v>-2.5999999999999999E-3</v>
      </c>
    </row>
    <row r="403" spans="3:14" x14ac:dyDescent="0.25">
      <c r="C403">
        <v>285</v>
      </c>
      <c r="D403" t="s">
        <v>669</v>
      </c>
      <c r="E403">
        <v>48</v>
      </c>
      <c r="F403" t="s">
        <v>823</v>
      </c>
      <c r="G403" s="83">
        <v>10.5</v>
      </c>
      <c r="H403" s="83">
        <v>50400</v>
      </c>
      <c r="I403" t="s">
        <v>874</v>
      </c>
      <c r="J403" s="83">
        <v>10.8</v>
      </c>
      <c r="K403" s="83">
        <v>51872.160000000003</v>
      </c>
      <c r="L403" t="s">
        <v>395</v>
      </c>
      <c r="M403">
        <v>-1504.32</v>
      </c>
      <c r="N403" s="84">
        <v>-2.7000000000000001E-3</v>
      </c>
    </row>
    <row r="404" spans="3:14" x14ac:dyDescent="0.25">
      <c r="C404">
        <v>286</v>
      </c>
      <c r="D404" t="s">
        <v>855</v>
      </c>
      <c r="E404">
        <v>19</v>
      </c>
      <c r="F404" t="s">
        <v>873</v>
      </c>
      <c r="G404" s="83">
        <v>25.4</v>
      </c>
      <c r="H404" s="83">
        <v>48260</v>
      </c>
      <c r="I404" t="s">
        <v>874</v>
      </c>
      <c r="J404" s="83">
        <v>27</v>
      </c>
      <c r="K404" s="83">
        <v>51312.73</v>
      </c>
      <c r="L404" t="s">
        <v>623</v>
      </c>
      <c r="M404">
        <v>-3065.46</v>
      </c>
      <c r="N404" s="84">
        <v>-6.1000000000000004E-3</v>
      </c>
    </row>
    <row r="405" spans="3:14" x14ac:dyDescent="0.25">
      <c r="C405">
        <v>287</v>
      </c>
      <c r="D405" t="s">
        <v>855</v>
      </c>
      <c r="E405">
        <v>19</v>
      </c>
      <c r="F405" t="s">
        <v>827</v>
      </c>
      <c r="G405" s="83">
        <v>27.5</v>
      </c>
      <c r="H405" s="83">
        <v>52250</v>
      </c>
      <c r="I405" t="s">
        <v>874</v>
      </c>
      <c r="J405" s="83">
        <v>36</v>
      </c>
      <c r="K405" s="83">
        <v>68412.73</v>
      </c>
      <c r="L405" t="s">
        <v>623</v>
      </c>
      <c r="M405">
        <v>-16175.46</v>
      </c>
      <c r="N405" s="84">
        <v>-3.0099999999999998E-2</v>
      </c>
    </row>
    <row r="406" spans="3:14" x14ac:dyDescent="0.25">
      <c r="C406">
        <v>288</v>
      </c>
      <c r="D406" t="s">
        <v>669</v>
      </c>
      <c r="E406">
        <v>44</v>
      </c>
      <c r="F406" t="s">
        <v>851</v>
      </c>
      <c r="G406" s="83">
        <v>11.35</v>
      </c>
      <c r="H406" s="83">
        <v>49940</v>
      </c>
      <c r="I406" t="s">
        <v>874</v>
      </c>
      <c r="J406" s="83">
        <v>11.25</v>
      </c>
      <c r="K406" s="83">
        <v>49529.48</v>
      </c>
      <c r="L406" t="s">
        <v>395</v>
      </c>
      <c r="M406">
        <v>381.04</v>
      </c>
      <c r="N406" s="84">
        <v>6.9999999999999999E-4</v>
      </c>
    </row>
    <row r="407" spans="3:14" x14ac:dyDescent="0.25">
      <c r="C407">
        <v>289</v>
      </c>
      <c r="D407" t="s">
        <v>669</v>
      </c>
      <c r="E407">
        <v>47</v>
      </c>
      <c r="F407" t="s">
        <v>852</v>
      </c>
      <c r="G407" s="83">
        <v>10.3</v>
      </c>
      <c r="H407" s="83">
        <v>48410</v>
      </c>
      <c r="I407" t="s">
        <v>874</v>
      </c>
      <c r="J407" s="83">
        <v>9.0500000000000007</v>
      </c>
      <c r="K407" s="83">
        <v>42566.49</v>
      </c>
      <c r="L407" t="s">
        <v>395</v>
      </c>
      <c r="M407">
        <v>5812.02</v>
      </c>
      <c r="N407" s="84">
        <v>1.1299999999999999E-2</v>
      </c>
    </row>
    <row r="408" spans="3:14" x14ac:dyDescent="0.25">
      <c r="C408">
        <v>290</v>
      </c>
      <c r="D408" t="s">
        <v>855</v>
      </c>
      <c r="E408">
        <v>20</v>
      </c>
      <c r="F408" t="s">
        <v>875</v>
      </c>
      <c r="G408" s="83">
        <v>25.4</v>
      </c>
      <c r="H408" s="83">
        <v>50800</v>
      </c>
      <c r="I408" t="s">
        <v>874</v>
      </c>
      <c r="J408" s="83">
        <v>31</v>
      </c>
      <c r="K408" s="83">
        <v>62013.4</v>
      </c>
      <c r="L408" t="s">
        <v>623</v>
      </c>
      <c r="M408">
        <v>-11226.8</v>
      </c>
      <c r="N408" s="84">
        <v>-2.0400000000000001E-2</v>
      </c>
    </row>
    <row r="409" spans="3:14" x14ac:dyDescent="0.25">
      <c r="C409">
        <v>291</v>
      </c>
      <c r="D409" t="s">
        <v>669</v>
      </c>
      <c r="E409">
        <v>40</v>
      </c>
      <c r="F409" t="s">
        <v>842</v>
      </c>
      <c r="G409" s="83">
        <v>12</v>
      </c>
      <c r="H409" s="83">
        <v>48000</v>
      </c>
      <c r="I409" t="s">
        <v>874</v>
      </c>
      <c r="J409" s="83">
        <v>17.3</v>
      </c>
      <c r="K409" s="83">
        <v>69226.8</v>
      </c>
      <c r="L409" t="s">
        <v>395</v>
      </c>
      <c r="M409">
        <v>-21253.599999999999</v>
      </c>
      <c r="N409" s="84">
        <v>-4.1500000000000002E-2</v>
      </c>
    </row>
    <row r="410" spans="3:14" x14ac:dyDescent="0.25">
      <c r="C410">
        <v>292</v>
      </c>
      <c r="D410" t="s">
        <v>766</v>
      </c>
      <c r="E410">
        <v>81</v>
      </c>
      <c r="F410" t="s">
        <v>810</v>
      </c>
      <c r="G410" s="83">
        <v>5.05</v>
      </c>
      <c r="H410" s="83">
        <v>40905</v>
      </c>
      <c r="I410" t="s">
        <v>1274</v>
      </c>
      <c r="J410" s="83">
        <v>0.77</v>
      </c>
      <c r="K410" s="83">
        <v>6291.27</v>
      </c>
      <c r="L410" t="s">
        <v>399</v>
      </c>
      <c r="M410">
        <v>34559.46</v>
      </c>
      <c r="N410" s="84">
        <v>8.9899999999999994E-2</v>
      </c>
    </row>
    <row r="411" spans="3:14" x14ac:dyDescent="0.25">
      <c r="C411">
        <v>293</v>
      </c>
      <c r="D411" t="s">
        <v>766</v>
      </c>
      <c r="E411">
        <v>96</v>
      </c>
      <c r="F411" t="s">
        <v>808</v>
      </c>
      <c r="G411" s="83">
        <v>4.45</v>
      </c>
      <c r="H411" s="83">
        <v>42720</v>
      </c>
      <c r="I411" t="s">
        <v>1275</v>
      </c>
      <c r="J411" s="83">
        <v>0.87</v>
      </c>
      <c r="K411" s="83">
        <v>8416.32</v>
      </c>
      <c r="L411" t="s">
        <v>399</v>
      </c>
      <c r="M411">
        <v>34239.360000000001</v>
      </c>
      <c r="N411" s="84">
        <v>7.8299999999999995E-2</v>
      </c>
    </row>
    <row r="412" spans="3:14" x14ac:dyDescent="0.25">
      <c r="C412">
        <v>294</v>
      </c>
      <c r="D412" t="s">
        <v>766</v>
      </c>
      <c r="E412">
        <v>73</v>
      </c>
      <c r="F412" t="s">
        <v>846</v>
      </c>
      <c r="G412" s="83">
        <v>5.25</v>
      </c>
      <c r="H412" s="83">
        <v>38325</v>
      </c>
      <c r="I412" t="s">
        <v>1276</v>
      </c>
      <c r="J412" s="83">
        <v>0.99</v>
      </c>
      <c r="K412" s="83">
        <v>7275.91</v>
      </c>
      <c r="L412" t="s">
        <v>399</v>
      </c>
      <c r="M412">
        <v>31000.18</v>
      </c>
      <c r="N412" s="84">
        <v>8.5400000000000004E-2</v>
      </c>
    </row>
    <row r="413" spans="3:14" x14ac:dyDescent="0.25">
      <c r="C413">
        <v>295</v>
      </c>
      <c r="D413" t="s">
        <v>766</v>
      </c>
      <c r="E413">
        <v>79</v>
      </c>
      <c r="F413" t="s">
        <v>816</v>
      </c>
      <c r="G413" s="83">
        <v>5.15</v>
      </c>
      <c r="H413" s="83">
        <v>40685</v>
      </c>
      <c r="I413" t="s">
        <v>1277</v>
      </c>
      <c r="J413" s="83">
        <v>0.72</v>
      </c>
      <c r="K413" s="83">
        <v>5740.93</v>
      </c>
      <c r="L413" t="s">
        <v>399</v>
      </c>
      <c r="M413">
        <v>34891.14</v>
      </c>
      <c r="N413" s="84">
        <v>9.3299999999999994E-2</v>
      </c>
    </row>
    <row r="414" spans="3:14" x14ac:dyDescent="0.25">
      <c r="C414">
        <v>296</v>
      </c>
      <c r="D414" t="s">
        <v>407</v>
      </c>
      <c r="E414">
        <v>26</v>
      </c>
      <c r="F414" t="s">
        <v>863</v>
      </c>
      <c r="G414" s="83">
        <v>17.600000000000001</v>
      </c>
      <c r="H414" s="83">
        <v>45760</v>
      </c>
      <c r="I414" t="s">
        <v>1277</v>
      </c>
      <c r="J414" s="83">
        <v>3.5</v>
      </c>
      <c r="K414" s="83">
        <v>9117.42</v>
      </c>
      <c r="L414" t="s">
        <v>399</v>
      </c>
      <c r="M414">
        <v>36625.160000000003</v>
      </c>
      <c r="N414" s="84">
        <v>7.3200000000000001E-2</v>
      </c>
    </row>
    <row r="415" spans="3:14" x14ac:dyDescent="0.25">
      <c r="C415">
        <v>297</v>
      </c>
      <c r="D415" t="s">
        <v>766</v>
      </c>
      <c r="E415">
        <v>76</v>
      </c>
      <c r="F415" t="s">
        <v>801</v>
      </c>
      <c r="G415" s="83">
        <v>5.25</v>
      </c>
      <c r="H415" s="83">
        <v>39900</v>
      </c>
      <c r="I415" t="s">
        <v>1278</v>
      </c>
      <c r="J415" s="83">
        <v>0.98</v>
      </c>
      <c r="K415" s="83">
        <v>7498.92</v>
      </c>
      <c r="L415" t="s">
        <v>399</v>
      </c>
      <c r="M415">
        <v>32350.16</v>
      </c>
      <c r="N415" s="84">
        <v>8.5599999999999996E-2</v>
      </c>
    </row>
    <row r="416" spans="3:14" x14ac:dyDescent="0.25">
      <c r="C416">
        <v>298</v>
      </c>
      <c r="D416" t="s">
        <v>407</v>
      </c>
      <c r="E416">
        <v>26</v>
      </c>
      <c r="F416" t="s">
        <v>845</v>
      </c>
      <c r="G416" s="83">
        <v>18.649999999999999</v>
      </c>
      <c r="H416" s="83">
        <v>48490</v>
      </c>
      <c r="I416" t="s">
        <v>900</v>
      </c>
      <c r="J416" s="83">
        <v>3.25</v>
      </c>
      <c r="K416" s="83">
        <v>8467.42</v>
      </c>
      <c r="L416" t="s">
        <v>399</v>
      </c>
      <c r="M416">
        <v>40005.160000000003</v>
      </c>
      <c r="N416" s="84">
        <v>7.6399999999999996E-2</v>
      </c>
    </row>
    <row r="417" spans="3:14" x14ac:dyDescent="0.25">
      <c r="C417">
        <v>299</v>
      </c>
      <c r="D417" t="s">
        <v>529</v>
      </c>
      <c r="E417">
        <v>66</v>
      </c>
      <c r="F417" t="s">
        <v>826</v>
      </c>
      <c r="G417" s="83">
        <v>7.55</v>
      </c>
      <c r="H417" s="83">
        <v>49830</v>
      </c>
      <c r="I417" t="s">
        <v>885</v>
      </c>
      <c r="J417" s="83">
        <v>3.35</v>
      </c>
      <c r="K417" s="83">
        <v>22154.22</v>
      </c>
      <c r="L417" t="s">
        <v>623</v>
      </c>
      <c r="M417">
        <v>27631.56</v>
      </c>
      <c r="N417" s="84">
        <v>5.4100000000000002E-2</v>
      </c>
    </row>
    <row r="418" spans="3:14" x14ac:dyDescent="0.25">
      <c r="C418">
        <v>300</v>
      </c>
      <c r="D418" t="s">
        <v>529</v>
      </c>
      <c r="E418">
        <v>58</v>
      </c>
      <c r="F418" t="s">
        <v>850</v>
      </c>
      <c r="G418" s="83">
        <v>8.6</v>
      </c>
      <c r="H418" s="83">
        <v>49880</v>
      </c>
      <c r="I418" t="s">
        <v>885</v>
      </c>
      <c r="J418" s="83">
        <v>4.8</v>
      </c>
      <c r="K418" s="83">
        <v>27878.86</v>
      </c>
      <c r="L418" t="s">
        <v>623</v>
      </c>
      <c r="M418">
        <v>21962.28</v>
      </c>
      <c r="N418" s="84">
        <v>4.65E-2</v>
      </c>
    </row>
    <row r="419" spans="3:14" x14ac:dyDescent="0.25">
      <c r="C419">
        <v>301</v>
      </c>
      <c r="D419" t="s">
        <v>529</v>
      </c>
      <c r="E419">
        <v>52</v>
      </c>
      <c r="F419" t="s">
        <v>866</v>
      </c>
      <c r="G419" s="83">
        <v>9.0500000000000007</v>
      </c>
      <c r="H419" s="83">
        <v>47060</v>
      </c>
      <c r="I419" t="s">
        <v>885</v>
      </c>
      <c r="J419" s="83">
        <v>6.7</v>
      </c>
      <c r="K419" s="83">
        <v>34874.839999999997</v>
      </c>
      <c r="L419" t="s">
        <v>623</v>
      </c>
      <c r="M419">
        <v>12150.32</v>
      </c>
      <c r="N419" s="84">
        <v>2.7199999999999998E-2</v>
      </c>
    </row>
    <row r="420" spans="3:14" x14ac:dyDescent="0.25">
      <c r="C420">
        <v>302</v>
      </c>
      <c r="D420" t="s">
        <v>529</v>
      </c>
      <c r="E420">
        <v>54</v>
      </c>
      <c r="F420" t="s">
        <v>884</v>
      </c>
      <c r="G420" s="83">
        <v>9.8000000000000007</v>
      </c>
      <c r="H420" s="83">
        <v>52920</v>
      </c>
      <c r="I420" t="s">
        <v>885</v>
      </c>
      <c r="J420" s="83">
        <v>16</v>
      </c>
      <c r="K420" s="83">
        <v>86436.18</v>
      </c>
      <c r="L420" t="s">
        <v>623</v>
      </c>
      <c r="M420">
        <v>-33552.36</v>
      </c>
      <c r="N420" s="84">
        <v>-6.5299999999999997E-2</v>
      </c>
    </row>
    <row r="421" spans="3:14" x14ac:dyDescent="0.25">
      <c r="C421">
        <v>303</v>
      </c>
      <c r="D421" t="s">
        <v>529</v>
      </c>
      <c r="E421">
        <v>60</v>
      </c>
      <c r="F421" t="s">
        <v>886</v>
      </c>
      <c r="G421" s="83">
        <v>8.6</v>
      </c>
      <c r="H421" s="83">
        <v>51600</v>
      </c>
      <c r="I421" t="s">
        <v>885</v>
      </c>
      <c r="J421" s="83">
        <v>13.3</v>
      </c>
      <c r="K421" s="83">
        <v>79840.2</v>
      </c>
      <c r="L421" t="s">
        <v>623</v>
      </c>
      <c r="M421">
        <v>-28280.400000000001</v>
      </c>
      <c r="N421" s="84">
        <v>-5.16E-2</v>
      </c>
    </row>
    <row r="422" spans="3:14" x14ac:dyDescent="0.25">
      <c r="C422">
        <v>304</v>
      </c>
      <c r="D422" t="s">
        <v>669</v>
      </c>
      <c r="E422">
        <v>46</v>
      </c>
      <c r="F422" t="s">
        <v>887</v>
      </c>
      <c r="G422" s="83">
        <v>11.35</v>
      </c>
      <c r="H422" s="83">
        <v>52210</v>
      </c>
      <c r="I422" t="s">
        <v>885</v>
      </c>
      <c r="J422" s="83">
        <v>17.05</v>
      </c>
      <c r="K422" s="83">
        <v>78460.820000000007</v>
      </c>
      <c r="L422" t="s">
        <v>623</v>
      </c>
      <c r="M422">
        <v>-26281.64</v>
      </c>
      <c r="N422" s="84">
        <v>-4.6199999999999998E-2</v>
      </c>
    </row>
    <row r="423" spans="3:14" x14ac:dyDescent="0.25">
      <c r="C423">
        <v>305</v>
      </c>
      <c r="D423" t="s">
        <v>814</v>
      </c>
      <c r="E423">
        <v>95</v>
      </c>
      <c r="F423" t="s">
        <v>871</v>
      </c>
      <c r="G423" s="83">
        <v>5.4</v>
      </c>
      <c r="H423" s="83">
        <v>51300</v>
      </c>
      <c r="I423" t="s">
        <v>1279</v>
      </c>
      <c r="J423" s="83">
        <v>0.97</v>
      </c>
      <c r="K423" s="83">
        <v>9278.65</v>
      </c>
      <c r="L423" t="s">
        <v>399</v>
      </c>
      <c r="M423">
        <v>41957.7</v>
      </c>
      <c r="N423" s="84">
        <v>8.8999999999999996E-2</v>
      </c>
    </row>
    <row r="424" spans="3:14" x14ac:dyDescent="0.25">
      <c r="C424">
        <v>306</v>
      </c>
      <c r="D424" t="s">
        <v>435</v>
      </c>
      <c r="E424">
        <v>21</v>
      </c>
      <c r="F424" t="s">
        <v>896</v>
      </c>
      <c r="G424" s="83">
        <v>25.5</v>
      </c>
      <c r="H424" s="83">
        <v>53550</v>
      </c>
      <c r="I424" t="s">
        <v>897</v>
      </c>
      <c r="J424" s="83">
        <v>1.95</v>
      </c>
      <c r="K424" s="83">
        <v>4109.07</v>
      </c>
      <c r="L424" t="s">
        <v>399</v>
      </c>
      <c r="M424">
        <v>49426.86</v>
      </c>
      <c r="N424" s="84">
        <v>0.39560000000000001</v>
      </c>
    </row>
    <row r="425" spans="3:14" x14ac:dyDescent="0.25">
      <c r="C425">
        <v>307</v>
      </c>
      <c r="D425" t="s">
        <v>524</v>
      </c>
      <c r="E425">
        <v>109</v>
      </c>
      <c r="F425" t="s">
        <v>880</v>
      </c>
      <c r="G425" s="83">
        <v>5.0999999999999996</v>
      </c>
      <c r="H425" s="83">
        <v>55590</v>
      </c>
      <c r="I425" t="s">
        <v>899</v>
      </c>
      <c r="J425" s="83">
        <v>1</v>
      </c>
      <c r="K425" s="83">
        <v>10973.03</v>
      </c>
      <c r="L425" t="s">
        <v>399</v>
      </c>
      <c r="M425">
        <v>44543.94</v>
      </c>
      <c r="N425" s="84">
        <v>7.4399999999999994E-2</v>
      </c>
    </row>
    <row r="426" spans="3:14" x14ac:dyDescent="0.25">
      <c r="C426">
        <v>308</v>
      </c>
      <c r="D426" t="s">
        <v>407</v>
      </c>
      <c r="E426">
        <v>23</v>
      </c>
      <c r="F426" t="s">
        <v>882</v>
      </c>
      <c r="G426" s="83">
        <v>21.2</v>
      </c>
      <c r="H426" s="83">
        <v>48760</v>
      </c>
      <c r="I426" t="s">
        <v>899</v>
      </c>
      <c r="J426" s="83">
        <v>3.85</v>
      </c>
      <c r="K426" s="83">
        <v>8870.41</v>
      </c>
      <c r="L426" t="s">
        <v>399</v>
      </c>
      <c r="M426">
        <v>39874.18</v>
      </c>
      <c r="N426" s="84">
        <v>7.5800000000000006E-2</v>
      </c>
    </row>
    <row r="427" spans="3:14" x14ac:dyDescent="0.25">
      <c r="C427">
        <v>309</v>
      </c>
      <c r="D427" t="s">
        <v>508</v>
      </c>
      <c r="E427">
        <v>106</v>
      </c>
      <c r="F427" t="s">
        <v>890</v>
      </c>
      <c r="G427" s="83">
        <v>4.7</v>
      </c>
      <c r="H427" s="83">
        <v>49820</v>
      </c>
      <c r="I427" t="s">
        <v>899</v>
      </c>
      <c r="J427" s="83">
        <v>0.75</v>
      </c>
      <c r="K427" s="83">
        <v>8021.02</v>
      </c>
      <c r="L427" t="s">
        <v>399</v>
      </c>
      <c r="M427">
        <v>41727.96</v>
      </c>
      <c r="N427" s="84">
        <v>8.6900000000000005E-2</v>
      </c>
    </row>
    <row r="428" spans="3:14" x14ac:dyDescent="0.25">
      <c r="C428">
        <v>310</v>
      </c>
      <c r="D428" t="s">
        <v>524</v>
      </c>
      <c r="E428">
        <v>108</v>
      </c>
      <c r="F428" t="s">
        <v>888</v>
      </c>
      <c r="G428" s="83">
        <v>5.2</v>
      </c>
      <c r="H428" s="83">
        <v>56160</v>
      </c>
      <c r="I428" t="s">
        <v>1280</v>
      </c>
      <c r="J428" s="83">
        <v>0.7</v>
      </c>
      <c r="K428" s="83">
        <v>7632.36</v>
      </c>
      <c r="L428" t="s">
        <v>399</v>
      </c>
      <c r="M428">
        <v>48455.28</v>
      </c>
      <c r="N428" s="84">
        <v>8.0399999999999999E-2</v>
      </c>
    </row>
    <row r="429" spans="3:14" x14ac:dyDescent="0.25">
      <c r="C429">
        <v>311</v>
      </c>
      <c r="D429" t="s">
        <v>407</v>
      </c>
      <c r="E429">
        <v>21</v>
      </c>
      <c r="F429" t="s">
        <v>892</v>
      </c>
      <c r="G429" s="83">
        <v>22.1</v>
      </c>
      <c r="H429" s="83">
        <v>46410</v>
      </c>
      <c r="I429" t="s">
        <v>1280</v>
      </c>
      <c r="J429" s="83">
        <v>4.3</v>
      </c>
      <c r="K429" s="83">
        <v>9044.07</v>
      </c>
      <c r="L429" t="s">
        <v>399</v>
      </c>
      <c r="M429">
        <v>37351.86</v>
      </c>
      <c r="N429" s="84">
        <v>7.4800000000000005E-2</v>
      </c>
    </row>
    <row r="430" spans="3:14" x14ac:dyDescent="0.25">
      <c r="C430">
        <v>312</v>
      </c>
      <c r="D430" t="s">
        <v>508</v>
      </c>
      <c r="E430">
        <v>103</v>
      </c>
      <c r="F430" t="s">
        <v>894</v>
      </c>
      <c r="G430" s="83">
        <v>5.2</v>
      </c>
      <c r="H430" s="83">
        <v>53560</v>
      </c>
      <c r="I430" t="s">
        <v>1281</v>
      </c>
      <c r="J430" s="83">
        <v>1.03</v>
      </c>
      <c r="K430" s="83">
        <v>10678.01</v>
      </c>
      <c r="L430" t="s">
        <v>399</v>
      </c>
      <c r="M430">
        <v>42812.98</v>
      </c>
      <c r="N430" s="84">
        <v>8.7900000000000006E-2</v>
      </c>
    </row>
    <row r="431" spans="3:14" x14ac:dyDescent="0.25">
      <c r="C431">
        <v>313</v>
      </c>
      <c r="D431" t="s">
        <v>508</v>
      </c>
      <c r="E431">
        <v>125</v>
      </c>
      <c r="F431" t="s">
        <v>883</v>
      </c>
      <c r="G431" s="83">
        <v>4.3</v>
      </c>
      <c r="H431" s="83">
        <v>53750</v>
      </c>
      <c r="I431" t="s">
        <v>1281</v>
      </c>
      <c r="J431" s="83">
        <v>0.86</v>
      </c>
      <c r="K431" s="83">
        <v>10833.75</v>
      </c>
      <c r="L431" t="s">
        <v>399</v>
      </c>
      <c r="M431">
        <v>42832.5</v>
      </c>
      <c r="N431" s="84">
        <v>7.4999999999999997E-2</v>
      </c>
    </row>
    <row r="432" spans="3:14" x14ac:dyDescent="0.25">
      <c r="C432">
        <v>314</v>
      </c>
      <c r="D432" t="s">
        <v>524</v>
      </c>
      <c r="E432">
        <v>81</v>
      </c>
      <c r="F432" t="s">
        <v>898</v>
      </c>
      <c r="G432" s="83">
        <v>6.8</v>
      </c>
      <c r="H432" s="83">
        <v>55080</v>
      </c>
      <c r="I432" t="s">
        <v>1282</v>
      </c>
      <c r="J432" s="83">
        <v>1.3</v>
      </c>
      <c r="K432" s="83">
        <v>10584.27</v>
      </c>
      <c r="L432" t="s">
        <v>399</v>
      </c>
      <c r="M432">
        <v>44441.46</v>
      </c>
      <c r="N432" s="84">
        <v>0.1031</v>
      </c>
    </row>
    <row r="433" spans="3:14" x14ac:dyDescent="0.25">
      <c r="C433">
        <v>315</v>
      </c>
      <c r="D433" t="s">
        <v>902</v>
      </c>
      <c r="E433">
        <v>158</v>
      </c>
      <c r="F433" t="s">
        <v>903</v>
      </c>
      <c r="G433" s="83">
        <v>3.55</v>
      </c>
      <c r="H433" s="83">
        <v>56090</v>
      </c>
      <c r="I433" t="s">
        <v>1283</v>
      </c>
      <c r="J433" s="83">
        <v>0.6</v>
      </c>
      <c r="K433" s="83">
        <v>9585.86</v>
      </c>
      <c r="L433" t="s">
        <v>399</v>
      </c>
      <c r="M433">
        <v>46398.28</v>
      </c>
      <c r="N433" s="84">
        <v>7.8399999999999997E-2</v>
      </c>
    </row>
    <row r="434" spans="3:14" x14ac:dyDescent="0.25">
      <c r="C434">
        <v>316</v>
      </c>
      <c r="D434" t="s">
        <v>902</v>
      </c>
      <c r="E434">
        <v>140</v>
      </c>
      <c r="F434" t="s">
        <v>874</v>
      </c>
      <c r="G434" s="83">
        <v>3.65</v>
      </c>
      <c r="H434" s="83">
        <v>51100</v>
      </c>
      <c r="I434" t="s">
        <v>1283</v>
      </c>
      <c r="J434" s="83">
        <v>0.71</v>
      </c>
      <c r="K434" s="83">
        <v>10033.799999999999</v>
      </c>
      <c r="L434" t="s">
        <v>399</v>
      </c>
      <c r="M434">
        <v>40972.400000000001</v>
      </c>
      <c r="N434" s="84">
        <v>7.6300000000000007E-2</v>
      </c>
    </row>
    <row r="435" spans="3:14" x14ac:dyDescent="0.25">
      <c r="C435">
        <v>317</v>
      </c>
      <c r="D435" t="s">
        <v>814</v>
      </c>
      <c r="E435">
        <v>91</v>
      </c>
      <c r="F435" t="s">
        <v>900</v>
      </c>
      <c r="G435" s="83">
        <v>5.95</v>
      </c>
      <c r="H435" s="83">
        <v>54145</v>
      </c>
      <c r="I435" t="s">
        <v>922</v>
      </c>
      <c r="J435" s="83">
        <v>1.02</v>
      </c>
      <c r="K435" s="83">
        <v>9342.9699999999993</v>
      </c>
      <c r="L435" t="s">
        <v>399</v>
      </c>
      <c r="M435">
        <v>44741.06</v>
      </c>
      <c r="N435" s="84">
        <v>8.3299999999999999E-2</v>
      </c>
    </row>
    <row r="436" spans="3:14" x14ac:dyDescent="0.25">
      <c r="C436">
        <v>318</v>
      </c>
      <c r="D436" t="s">
        <v>461</v>
      </c>
      <c r="E436">
        <v>27</v>
      </c>
      <c r="F436" t="s">
        <v>897</v>
      </c>
      <c r="G436" s="83">
        <v>20.399999999999999</v>
      </c>
      <c r="H436" s="83">
        <v>55080</v>
      </c>
      <c r="I436" t="s">
        <v>1284</v>
      </c>
      <c r="J436" s="83">
        <v>4</v>
      </c>
      <c r="K436" s="83">
        <v>10818.09</v>
      </c>
      <c r="L436" t="s">
        <v>399</v>
      </c>
      <c r="M436">
        <v>44243.82</v>
      </c>
      <c r="N436" s="84">
        <v>7.46E-2</v>
      </c>
    </row>
    <row r="437" spans="3:14" x14ac:dyDescent="0.25">
      <c r="C437">
        <v>319</v>
      </c>
      <c r="D437" t="s">
        <v>524</v>
      </c>
      <c r="E437">
        <v>124</v>
      </c>
      <c r="F437" t="s">
        <v>907</v>
      </c>
      <c r="G437" s="83">
        <v>4.3</v>
      </c>
      <c r="H437" s="83">
        <v>53320</v>
      </c>
      <c r="I437" t="s">
        <v>1285</v>
      </c>
      <c r="J437" s="83">
        <v>0.85</v>
      </c>
      <c r="K437" s="83">
        <v>10623.08</v>
      </c>
      <c r="L437" t="s">
        <v>399</v>
      </c>
      <c r="M437">
        <v>42613.84</v>
      </c>
      <c r="N437" s="84">
        <v>7.5200000000000003E-2</v>
      </c>
    </row>
    <row r="438" spans="3:14" x14ac:dyDescent="0.25">
      <c r="C438">
        <v>320</v>
      </c>
      <c r="D438" t="s">
        <v>918</v>
      </c>
      <c r="E438">
        <v>41</v>
      </c>
      <c r="F438" t="s">
        <v>919</v>
      </c>
      <c r="G438" s="83">
        <v>13</v>
      </c>
      <c r="H438" s="83">
        <v>53300</v>
      </c>
      <c r="I438" t="s">
        <v>1286</v>
      </c>
      <c r="J438" s="83">
        <v>9.4499999999999993</v>
      </c>
      <c r="K438" s="83">
        <v>38772.47</v>
      </c>
      <c r="L438" t="s">
        <v>623</v>
      </c>
      <c r="M438">
        <v>14500.06</v>
      </c>
      <c r="N438" s="84">
        <v>2.58E-2</v>
      </c>
    </row>
    <row r="439" spans="3:14" x14ac:dyDescent="0.25">
      <c r="C439">
        <v>321</v>
      </c>
      <c r="D439" t="s">
        <v>918</v>
      </c>
      <c r="E439">
        <v>40</v>
      </c>
      <c r="F439" t="s">
        <v>893</v>
      </c>
      <c r="G439" s="83">
        <v>13.65</v>
      </c>
      <c r="H439" s="83">
        <v>54600</v>
      </c>
      <c r="I439" t="s">
        <v>1286</v>
      </c>
      <c r="J439" s="83">
        <v>11.45</v>
      </c>
      <c r="K439" s="83">
        <v>45826.8</v>
      </c>
      <c r="L439" t="s">
        <v>623</v>
      </c>
      <c r="M439">
        <v>8746.4</v>
      </c>
      <c r="N439" s="84">
        <v>1.55E-2</v>
      </c>
    </row>
    <row r="440" spans="3:14" x14ac:dyDescent="0.25">
      <c r="C440">
        <v>322</v>
      </c>
      <c r="D440" t="s">
        <v>915</v>
      </c>
      <c r="E440">
        <v>71</v>
      </c>
      <c r="F440" t="s">
        <v>916</v>
      </c>
      <c r="G440" s="83">
        <v>8.5</v>
      </c>
      <c r="H440" s="83">
        <v>60350</v>
      </c>
      <c r="I440" t="s">
        <v>1287</v>
      </c>
      <c r="J440" s="83">
        <v>11.9</v>
      </c>
      <c r="K440" s="83">
        <v>84537.57</v>
      </c>
      <c r="L440" t="s">
        <v>623</v>
      </c>
      <c r="M440">
        <v>-24235.14</v>
      </c>
      <c r="N440" s="84">
        <v>-3.73E-2</v>
      </c>
    </row>
    <row r="441" spans="3:14" x14ac:dyDescent="0.25">
      <c r="C441">
        <v>323</v>
      </c>
      <c r="D441" t="s">
        <v>915</v>
      </c>
      <c r="E441">
        <v>69</v>
      </c>
      <c r="F441" t="s">
        <v>906</v>
      </c>
      <c r="G441" s="83">
        <v>8.9</v>
      </c>
      <c r="H441" s="83">
        <v>61410</v>
      </c>
      <c r="I441" t="s">
        <v>1287</v>
      </c>
      <c r="J441" s="83">
        <v>13.4</v>
      </c>
      <c r="K441" s="83">
        <v>92506.23</v>
      </c>
      <c r="L441" t="s">
        <v>623</v>
      </c>
      <c r="M441">
        <v>-31142.46</v>
      </c>
      <c r="N441" s="84">
        <v>-4.9500000000000002E-2</v>
      </c>
    </row>
    <row r="442" spans="3:14" x14ac:dyDescent="0.25">
      <c r="C442">
        <v>324</v>
      </c>
      <c r="D442" t="s">
        <v>909</v>
      </c>
      <c r="E442">
        <v>109</v>
      </c>
      <c r="F442" t="s">
        <v>910</v>
      </c>
      <c r="G442" s="83">
        <v>5.0999999999999996</v>
      </c>
      <c r="H442" s="83">
        <v>55590</v>
      </c>
      <c r="I442" t="s">
        <v>1288</v>
      </c>
      <c r="J442" s="83">
        <v>3.9</v>
      </c>
      <c r="K442" s="83">
        <v>42583.03</v>
      </c>
      <c r="L442" t="s">
        <v>623</v>
      </c>
      <c r="M442">
        <v>12933.94</v>
      </c>
      <c r="N442" s="84">
        <v>2.1600000000000001E-2</v>
      </c>
    </row>
    <row r="443" spans="3:14" x14ac:dyDescent="0.25">
      <c r="C443">
        <v>325</v>
      </c>
      <c r="D443" t="s">
        <v>902</v>
      </c>
      <c r="E443">
        <v>161</v>
      </c>
      <c r="F443" t="s">
        <v>924</v>
      </c>
      <c r="G443" s="83">
        <v>3.7</v>
      </c>
      <c r="H443" s="83">
        <v>59570</v>
      </c>
      <c r="I443" t="s">
        <v>927</v>
      </c>
      <c r="J443" s="83">
        <v>4.95</v>
      </c>
      <c r="K443" s="83">
        <v>79802.87</v>
      </c>
      <c r="L443" t="s">
        <v>395</v>
      </c>
      <c r="M443">
        <v>-20340.740000000002</v>
      </c>
      <c r="N443" s="84">
        <v>-3.39E-2</v>
      </c>
    </row>
    <row r="444" spans="3:14" x14ac:dyDescent="0.25">
      <c r="C444">
        <v>326</v>
      </c>
      <c r="D444" t="s">
        <v>902</v>
      </c>
      <c r="E444">
        <v>162</v>
      </c>
      <c r="F444" t="s">
        <v>926</v>
      </c>
      <c r="G444" s="83">
        <v>3.9</v>
      </c>
      <c r="H444" s="83">
        <v>63180</v>
      </c>
      <c r="I444" t="s">
        <v>927</v>
      </c>
      <c r="J444" s="83">
        <v>9.15</v>
      </c>
      <c r="K444" s="83">
        <v>148338.54</v>
      </c>
      <c r="L444" t="s">
        <v>395</v>
      </c>
      <c r="M444">
        <v>-85267.08</v>
      </c>
      <c r="N444" s="84">
        <v>-0.12809999999999999</v>
      </c>
    </row>
    <row r="445" spans="3:14" x14ac:dyDescent="0.25">
      <c r="C445">
        <v>327</v>
      </c>
      <c r="D445" t="s">
        <v>524</v>
      </c>
      <c r="E445">
        <v>80</v>
      </c>
      <c r="F445" t="s">
        <v>912</v>
      </c>
      <c r="G445" s="83">
        <v>6.6</v>
      </c>
      <c r="H445" s="83">
        <v>52800</v>
      </c>
      <c r="I445" t="s">
        <v>929</v>
      </c>
      <c r="J445" s="83">
        <v>3.7</v>
      </c>
      <c r="K445" s="83">
        <v>29653.599999999999</v>
      </c>
      <c r="L445" t="s">
        <v>623</v>
      </c>
      <c r="M445">
        <v>23092.799999999999</v>
      </c>
      <c r="N445" s="84">
        <v>5.4100000000000002E-2</v>
      </c>
    </row>
    <row r="446" spans="3:14" x14ac:dyDescent="0.25">
      <c r="C446">
        <v>328</v>
      </c>
      <c r="D446" t="s">
        <v>524</v>
      </c>
      <c r="E446">
        <v>105</v>
      </c>
      <c r="F446" t="s">
        <v>889</v>
      </c>
      <c r="G446" s="83">
        <v>5.0999999999999996</v>
      </c>
      <c r="H446" s="83">
        <v>53550</v>
      </c>
      <c r="I446" t="s">
        <v>929</v>
      </c>
      <c r="J446" s="83">
        <v>2.6</v>
      </c>
      <c r="K446" s="83">
        <v>27370.35</v>
      </c>
      <c r="L446" t="s">
        <v>623</v>
      </c>
      <c r="M446">
        <v>26109.3</v>
      </c>
      <c r="N446" s="84">
        <v>4.9799999999999997E-2</v>
      </c>
    </row>
    <row r="447" spans="3:14" x14ac:dyDescent="0.25">
      <c r="C447">
        <v>329</v>
      </c>
      <c r="D447" t="s">
        <v>524</v>
      </c>
      <c r="E447">
        <v>100</v>
      </c>
      <c r="F447" t="s">
        <v>895</v>
      </c>
      <c r="G447" s="83">
        <v>5.6</v>
      </c>
      <c r="H447" s="83">
        <v>56000</v>
      </c>
      <c r="I447" t="s">
        <v>929</v>
      </c>
      <c r="J447" s="83">
        <v>4</v>
      </c>
      <c r="K447" s="83">
        <v>40067</v>
      </c>
      <c r="L447" t="s">
        <v>623</v>
      </c>
      <c r="M447">
        <v>15866</v>
      </c>
      <c r="N447" s="84">
        <v>2.86E-2</v>
      </c>
    </row>
    <row r="448" spans="3:14" x14ac:dyDescent="0.25">
      <c r="C448">
        <v>330</v>
      </c>
      <c r="D448" t="s">
        <v>524</v>
      </c>
      <c r="E448">
        <v>111</v>
      </c>
      <c r="F448" t="s">
        <v>899</v>
      </c>
      <c r="G448" s="83">
        <v>5.2</v>
      </c>
      <c r="H448" s="83">
        <v>57720</v>
      </c>
      <c r="I448" t="s">
        <v>929</v>
      </c>
      <c r="J448" s="83">
        <v>4.3</v>
      </c>
      <c r="K448" s="83">
        <v>47804.37</v>
      </c>
      <c r="L448" t="s">
        <v>623</v>
      </c>
      <c r="M448">
        <v>9841.26</v>
      </c>
      <c r="N448" s="84">
        <v>1.5599999999999999E-2</v>
      </c>
    </row>
    <row r="449" spans="3:14" x14ac:dyDescent="0.25">
      <c r="C449">
        <v>331</v>
      </c>
      <c r="D449" t="s">
        <v>524</v>
      </c>
      <c r="E449">
        <v>98</v>
      </c>
      <c r="F449" t="s">
        <v>928</v>
      </c>
      <c r="G449" s="83">
        <v>6.4</v>
      </c>
      <c r="H449" s="83">
        <v>62720</v>
      </c>
      <c r="I449" t="s">
        <v>929</v>
      </c>
      <c r="J449" s="83">
        <v>9.9</v>
      </c>
      <c r="K449" s="83">
        <v>97085.66</v>
      </c>
      <c r="L449" t="s">
        <v>623</v>
      </c>
      <c r="M449">
        <v>-34431.32</v>
      </c>
      <c r="N449" s="84">
        <v>-5.5199999999999999E-2</v>
      </c>
    </row>
    <row r="450" spans="3:14" x14ac:dyDescent="0.25">
      <c r="C450">
        <v>332</v>
      </c>
      <c r="D450" t="s">
        <v>930</v>
      </c>
      <c r="E450">
        <v>159</v>
      </c>
      <c r="F450" t="s">
        <v>931</v>
      </c>
      <c r="G450" s="83">
        <v>3.85</v>
      </c>
      <c r="H450" s="83">
        <v>61215</v>
      </c>
      <c r="I450" t="s">
        <v>1289</v>
      </c>
      <c r="J450" s="83">
        <v>0.75</v>
      </c>
      <c r="K450" s="83">
        <v>12031.53</v>
      </c>
      <c r="L450" t="s">
        <v>399</v>
      </c>
      <c r="M450">
        <v>49076.94</v>
      </c>
      <c r="N450" s="84">
        <v>0.1333</v>
      </c>
    </row>
    <row r="451" spans="3:14" x14ac:dyDescent="0.25">
      <c r="C451">
        <v>333</v>
      </c>
      <c r="D451" t="s">
        <v>930</v>
      </c>
      <c r="E451">
        <v>165</v>
      </c>
      <c r="F451" t="s">
        <v>933</v>
      </c>
      <c r="G451" s="83">
        <v>3.8</v>
      </c>
      <c r="H451" s="83">
        <v>62700</v>
      </c>
      <c r="I451" t="s">
        <v>1290</v>
      </c>
      <c r="J451" s="83">
        <v>0.7</v>
      </c>
      <c r="K451" s="83">
        <v>11660.55</v>
      </c>
      <c r="L451" t="s">
        <v>399</v>
      </c>
      <c r="M451">
        <v>50928.9</v>
      </c>
      <c r="N451" s="84">
        <v>0.1275</v>
      </c>
    </row>
    <row r="452" spans="3:14" x14ac:dyDescent="0.25">
      <c r="C452">
        <v>334</v>
      </c>
      <c r="D452" t="s">
        <v>930</v>
      </c>
      <c r="E452">
        <v>157</v>
      </c>
      <c r="F452" t="s">
        <v>935</v>
      </c>
      <c r="G452" s="83">
        <v>4</v>
      </c>
      <c r="H452" s="83">
        <v>62800</v>
      </c>
      <c r="I452" t="s">
        <v>1290</v>
      </c>
      <c r="J452" s="83">
        <v>0.78</v>
      </c>
      <c r="K452" s="83">
        <v>12351.19</v>
      </c>
      <c r="L452" t="s">
        <v>399</v>
      </c>
      <c r="M452">
        <v>50343.62</v>
      </c>
      <c r="N452" s="84">
        <v>0.1283</v>
      </c>
    </row>
    <row r="453" spans="3:14" x14ac:dyDescent="0.25">
      <c r="C453">
        <v>335</v>
      </c>
      <c r="D453" t="s">
        <v>943</v>
      </c>
      <c r="E453">
        <v>37</v>
      </c>
      <c r="F453" t="s">
        <v>944</v>
      </c>
      <c r="G453" s="83">
        <v>16.850000000000001</v>
      </c>
      <c r="H453" s="83">
        <v>62345</v>
      </c>
      <c r="I453" t="s">
        <v>945</v>
      </c>
      <c r="J453" s="83">
        <v>18.5</v>
      </c>
      <c r="K453" s="83">
        <v>68474.789999999994</v>
      </c>
      <c r="L453" t="s">
        <v>623</v>
      </c>
      <c r="M453">
        <v>-6154.58</v>
      </c>
      <c r="N453" s="84">
        <v>-9.1000000000000004E-3</v>
      </c>
    </row>
    <row r="454" spans="3:14" x14ac:dyDescent="0.25">
      <c r="C454">
        <v>336</v>
      </c>
      <c r="D454" t="s">
        <v>943</v>
      </c>
      <c r="E454">
        <v>35</v>
      </c>
      <c r="F454" t="s">
        <v>946</v>
      </c>
      <c r="G454" s="83">
        <v>17.600000000000001</v>
      </c>
      <c r="H454" s="83">
        <v>61600</v>
      </c>
      <c r="I454" t="s">
        <v>945</v>
      </c>
      <c r="J454" s="83">
        <v>21.6</v>
      </c>
      <c r="K454" s="83">
        <v>75623.45</v>
      </c>
      <c r="L454" t="s">
        <v>623</v>
      </c>
      <c r="M454">
        <v>-14046.9</v>
      </c>
      <c r="N454" s="84">
        <v>-2.12E-2</v>
      </c>
    </row>
    <row r="455" spans="3:14" x14ac:dyDescent="0.25">
      <c r="C455">
        <v>337</v>
      </c>
      <c r="D455" t="s">
        <v>943</v>
      </c>
      <c r="E455">
        <v>34</v>
      </c>
      <c r="F455" t="s">
        <v>947</v>
      </c>
      <c r="G455" s="83">
        <v>18.45</v>
      </c>
      <c r="H455" s="83">
        <v>62730</v>
      </c>
      <c r="I455" t="s">
        <v>945</v>
      </c>
      <c r="J455" s="83">
        <v>23.25</v>
      </c>
      <c r="K455" s="83">
        <v>79072.78</v>
      </c>
      <c r="L455" t="s">
        <v>623</v>
      </c>
      <c r="M455">
        <v>-16365.56</v>
      </c>
      <c r="N455" s="84">
        <v>-2.5100000000000001E-2</v>
      </c>
    </row>
    <row r="456" spans="3:14" x14ac:dyDescent="0.25">
      <c r="C456">
        <v>338</v>
      </c>
      <c r="D456" t="s">
        <v>943</v>
      </c>
      <c r="E456">
        <v>36</v>
      </c>
      <c r="F456" t="s">
        <v>939</v>
      </c>
      <c r="G456" s="83">
        <v>17.2</v>
      </c>
      <c r="H456" s="83">
        <v>61920</v>
      </c>
      <c r="I456" t="s">
        <v>945</v>
      </c>
      <c r="J456" s="83">
        <v>22.75</v>
      </c>
      <c r="K456" s="83">
        <v>81924.12</v>
      </c>
      <c r="L456" t="s">
        <v>623</v>
      </c>
      <c r="M456">
        <v>-20028.240000000002</v>
      </c>
      <c r="N456" s="84">
        <v>-2.9600000000000001E-2</v>
      </c>
    </row>
    <row r="457" spans="3:14" x14ac:dyDescent="0.25">
      <c r="C457">
        <v>339</v>
      </c>
      <c r="D457" t="s">
        <v>943</v>
      </c>
      <c r="E457">
        <v>31</v>
      </c>
      <c r="F457" t="s">
        <v>948</v>
      </c>
      <c r="G457" s="83">
        <v>20</v>
      </c>
      <c r="H457" s="83">
        <v>62000</v>
      </c>
      <c r="I457" t="s">
        <v>945</v>
      </c>
      <c r="J457" s="83">
        <v>28.65</v>
      </c>
      <c r="K457" s="83">
        <v>88835.77</v>
      </c>
      <c r="L457" t="s">
        <v>623</v>
      </c>
      <c r="M457">
        <v>-26856.54</v>
      </c>
      <c r="N457" s="84">
        <v>-4.5600000000000002E-2</v>
      </c>
    </row>
    <row r="458" spans="3:14" x14ac:dyDescent="0.25">
      <c r="C458">
        <v>340</v>
      </c>
      <c r="D458" t="s">
        <v>943</v>
      </c>
      <c r="E458">
        <v>30</v>
      </c>
      <c r="F458" t="s">
        <v>949</v>
      </c>
      <c r="G458" s="83">
        <v>20.55</v>
      </c>
      <c r="H458" s="83">
        <v>61650</v>
      </c>
      <c r="I458" t="s">
        <v>945</v>
      </c>
      <c r="J458" s="83">
        <v>31.25</v>
      </c>
      <c r="K458" s="83">
        <v>93770.1</v>
      </c>
      <c r="L458" t="s">
        <v>623</v>
      </c>
      <c r="M458">
        <v>-32140.2</v>
      </c>
      <c r="N458" s="84">
        <v>-5.5100000000000003E-2</v>
      </c>
    </row>
    <row r="459" spans="3:14" x14ac:dyDescent="0.25">
      <c r="C459">
        <v>341</v>
      </c>
      <c r="D459" t="s">
        <v>943</v>
      </c>
      <c r="E459">
        <v>36</v>
      </c>
      <c r="F459" t="s">
        <v>950</v>
      </c>
      <c r="G459" s="83">
        <v>17.5</v>
      </c>
      <c r="H459" s="83">
        <v>63000</v>
      </c>
      <c r="I459" t="s">
        <v>945</v>
      </c>
      <c r="J459" s="83">
        <v>26.1</v>
      </c>
      <c r="K459" s="83">
        <v>93984.12</v>
      </c>
      <c r="L459" t="s">
        <v>623</v>
      </c>
      <c r="M459">
        <v>-31008.240000000002</v>
      </c>
      <c r="N459" s="84">
        <v>-4.5900000000000003E-2</v>
      </c>
    </row>
    <row r="460" spans="3:14" x14ac:dyDescent="0.25">
      <c r="C460">
        <v>342</v>
      </c>
      <c r="D460" t="s">
        <v>930</v>
      </c>
      <c r="E460">
        <v>155</v>
      </c>
      <c r="F460" t="s">
        <v>940</v>
      </c>
      <c r="G460" s="83">
        <v>4.05</v>
      </c>
      <c r="H460" s="83">
        <v>62775</v>
      </c>
      <c r="I460" t="s">
        <v>1291</v>
      </c>
      <c r="J460" s="83">
        <v>0.73</v>
      </c>
      <c r="K460" s="83">
        <v>11418.85</v>
      </c>
      <c r="L460" t="s">
        <v>399</v>
      </c>
      <c r="M460">
        <v>51252.3</v>
      </c>
      <c r="N460" s="84">
        <v>0.12740000000000001</v>
      </c>
    </row>
    <row r="461" spans="3:14" x14ac:dyDescent="0.25">
      <c r="C461">
        <v>343</v>
      </c>
      <c r="D461" t="s">
        <v>930</v>
      </c>
      <c r="E461">
        <v>158</v>
      </c>
      <c r="F461" t="s">
        <v>941</v>
      </c>
      <c r="G461" s="83">
        <v>4.05</v>
      </c>
      <c r="H461" s="83">
        <v>63990</v>
      </c>
      <c r="I461" t="s">
        <v>1291</v>
      </c>
      <c r="J461" s="83">
        <v>0.8</v>
      </c>
      <c r="K461" s="83">
        <v>12745.86</v>
      </c>
      <c r="L461" t="s">
        <v>399</v>
      </c>
      <c r="M461">
        <v>51138.28</v>
      </c>
      <c r="N461" s="84">
        <v>0.1201</v>
      </c>
    </row>
    <row r="462" spans="3:14" x14ac:dyDescent="0.25">
      <c r="C462">
        <v>344</v>
      </c>
      <c r="D462" t="s">
        <v>937</v>
      </c>
      <c r="E462">
        <v>67</v>
      </c>
      <c r="F462" t="s">
        <v>938</v>
      </c>
      <c r="G462" s="83">
        <v>9.1999999999999993</v>
      </c>
      <c r="H462" s="83">
        <v>61640</v>
      </c>
      <c r="I462" t="s">
        <v>1292</v>
      </c>
      <c r="J462" s="83">
        <v>1.77</v>
      </c>
      <c r="K462" s="83">
        <v>11903.89</v>
      </c>
      <c r="L462" t="s">
        <v>399</v>
      </c>
      <c r="M462">
        <v>49691.22</v>
      </c>
      <c r="N462" s="84">
        <v>7.3599999999999999E-2</v>
      </c>
    </row>
    <row r="463" spans="3:14" x14ac:dyDescent="0.25">
      <c r="C463">
        <v>345</v>
      </c>
      <c r="D463" t="s">
        <v>589</v>
      </c>
      <c r="E463">
        <v>65</v>
      </c>
      <c r="F463" t="s">
        <v>975</v>
      </c>
      <c r="G463" s="83">
        <v>10.050000000000001</v>
      </c>
      <c r="H463" s="83">
        <v>65325</v>
      </c>
      <c r="I463" t="s">
        <v>974</v>
      </c>
      <c r="J463" s="83">
        <v>18.350000000000001</v>
      </c>
      <c r="K463" s="83">
        <v>119318.55</v>
      </c>
      <c r="L463" t="s">
        <v>395</v>
      </c>
      <c r="M463">
        <v>-54037.1</v>
      </c>
      <c r="N463" s="84">
        <v>-9.2399999999999996E-2</v>
      </c>
    </row>
    <row r="464" spans="3:14" x14ac:dyDescent="0.25">
      <c r="C464">
        <v>346</v>
      </c>
      <c r="D464" t="s">
        <v>589</v>
      </c>
      <c r="E464">
        <v>69</v>
      </c>
      <c r="F464" t="s">
        <v>983</v>
      </c>
      <c r="G464" s="83">
        <v>9.4499999999999993</v>
      </c>
      <c r="H464" s="83">
        <v>65205</v>
      </c>
      <c r="I464" t="s">
        <v>974</v>
      </c>
      <c r="J464" s="83">
        <v>17.5</v>
      </c>
      <c r="K464" s="83">
        <v>120796.23</v>
      </c>
      <c r="L464" t="s">
        <v>395</v>
      </c>
      <c r="M464">
        <v>-55637.46</v>
      </c>
      <c r="N464" s="84">
        <v>-8.8999999999999996E-2</v>
      </c>
    </row>
    <row r="465" spans="3:14" x14ac:dyDescent="0.25">
      <c r="C465">
        <v>347</v>
      </c>
      <c r="D465" t="s">
        <v>589</v>
      </c>
      <c r="E465">
        <v>75</v>
      </c>
      <c r="F465" t="s">
        <v>976</v>
      </c>
      <c r="G465" s="83">
        <v>8.6</v>
      </c>
      <c r="H465" s="83">
        <v>64500</v>
      </c>
      <c r="I465" t="s">
        <v>974</v>
      </c>
      <c r="J465" s="83">
        <v>15.6</v>
      </c>
      <c r="K465" s="83">
        <v>117050.25</v>
      </c>
      <c r="L465" t="s">
        <v>395</v>
      </c>
      <c r="M465">
        <v>-52600.5</v>
      </c>
      <c r="N465" s="84">
        <v>-8.1199999999999994E-2</v>
      </c>
    </row>
    <row r="466" spans="3:14" x14ac:dyDescent="0.25">
      <c r="C466">
        <v>348</v>
      </c>
      <c r="D466" t="s">
        <v>589</v>
      </c>
      <c r="E466">
        <v>74</v>
      </c>
      <c r="F466" t="s">
        <v>977</v>
      </c>
      <c r="G466" s="83">
        <v>8.9</v>
      </c>
      <c r="H466" s="83">
        <v>65860</v>
      </c>
      <c r="I466" t="s">
        <v>974</v>
      </c>
      <c r="J466" s="83">
        <v>16.350000000000001</v>
      </c>
      <c r="K466" s="83">
        <v>121039.58</v>
      </c>
      <c r="L466" t="s">
        <v>395</v>
      </c>
      <c r="M466">
        <v>-55229.16</v>
      </c>
      <c r="N466" s="84">
        <v>-8.1900000000000001E-2</v>
      </c>
    </row>
    <row r="467" spans="3:14" x14ac:dyDescent="0.25">
      <c r="C467">
        <v>349</v>
      </c>
      <c r="D467" t="s">
        <v>589</v>
      </c>
      <c r="E467">
        <v>60</v>
      </c>
      <c r="F467" t="s">
        <v>978</v>
      </c>
      <c r="G467" s="83">
        <v>11.05</v>
      </c>
      <c r="H467" s="83">
        <v>66300</v>
      </c>
      <c r="I467" t="s">
        <v>974</v>
      </c>
      <c r="J467" s="83">
        <v>21.3</v>
      </c>
      <c r="K467" s="83">
        <v>127840.2</v>
      </c>
      <c r="L467" t="s">
        <v>395</v>
      </c>
      <c r="M467">
        <v>-61580.4</v>
      </c>
      <c r="N467" s="84">
        <v>-0.10920000000000001</v>
      </c>
    </row>
    <row r="468" spans="3:14" x14ac:dyDescent="0.25">
      <c r="C468">
        <v>350</v>
      </c>
      <c r="D468" t="s">
        <v>589</v>
      </c>
      <c r="E468">
        <v>69</v>
      </c>
      <c r="F468" t="s">
        <v>979</v>
      </c>
      <c r="G468" s="83">
        <v>9.75</v>
      </c>
      <c r="H468" s="83">
        <v>67275</v>
      </c>
      <c r="I468" t="s">
        <v>974</v>
      </c>
      <c r="J468" s="83">
        <v>20.45</v>
      </c>
      <c r="K468" s="83">
        <v>141151.23000000001</v>
      </c>
      <c r="L468" t="s">
        <v>395</v>
      </c>
      <c r="M468">
        <v>-73922.460000000006</v>
      </c>
      <c r="N468" s="84">
        <v>-0.1125</v>
      </c>
    </row>
    <row r="469" spans="3:14" x14ac:dyDescent="0.25">
      <c r="C469">
        <v>351</v>
      </c>
      <c r="D469" t="s">
        <v>589</v>
      </c>
      <c r="E469">
        <v>67</v>
      </c>
      <c r="F469" t="s">
        <v>980</v>
      </c>
      <c r="G469" s="83">
        <v>10.050000000000001</v>
      </c>
      <c r="H469" s="83">
        <v>67335</v>
      </c>
      <c r="I469" t="s">
        <v>974</v>
      </c>
      <c r="J469" s="83">
        <v>19.350000000000001</v>
      </c>
      <c r="K469" s="83">
        <v>129689.89</v>
      </c>
      <c r="L469" t="s">
        <v>395</v>
      </c>
      <c r="M469">
        <v>-62399.78</v>
      </c>
      <c r="N469" s="84">
        <v>-9.8100000000000007E-2</v>
      </c>
    </row>
    <row r="470" spans="3:14" x14ac:dyDescent="0.25">
      <c r="C470">
        <v>352</v>
      </c>
      <c r="D470" t="s">
        <v>581</v>
      </c>
      <c r="E470">
        <v>146</v>
      </c>
      <c r="F470" t="s">
        <v>955</v>
      </c>
      <c r="G470" s="83">
        <v>4.2</v>
      </c>
      <c r="H470" s="83">
        <v>61320</v>
      </c>
      <c r="I470" t="s">
        <v>990</v>
      </c>
      <c r="J470" s="83">
        <v>0.84</v>
      </c>
      <c r="K470" s="83">
        <v>12361.82</v>
      </c>
      <c r="L470" t="s">
        <v>399</v>
      </c>
      <c r="M470">
        <v>48860.36</v>
      </c>
      <c r="N470" s="84">
        <v>0.1406</v>
      </c>
    </row>
    <row r="471" spans="3:14" x14ac:dyDescent="0.25">
      <c r="C471">
        <v>353</v>
      </c>
      <c r="D471" t="s">
        <v>581</v>
      </c>
      <c r="E471">
        <v>147</v>
      </c>
      <c r="F471" t="s">
        <v>953</v>
      </c>
      <c r="G471" s="83">
        <v>4.1500000000000004</v>
      </c>
      <c r="H471" s="83">
        <v>61005</v>
      </c>
      <c r="I471" t="s">
        <v>990</v>
      </c>
      <c r="J471" s="83">
        <v>0.77</v>
      </c>
      <c r="K471" s="83">
        <v>11417.49</v>
      </c>
      <c r="L471" t="s">
        <v>399</v>
      </c>
      <c r="M471">
        <v>49489.02</v>
      </c>
      <c r="N471" s="84">
        <v>0.14729999999999999</v>
      </c>
    </row>
    <row r="472" spans="3:14" x14ac:dyDescent="0.25">
      <c r="C472">
        <v>354</v>
      </c>
      <c r="D472" t="s">
        <v>396</v>
      </c>
      <c r="E472">
        <v>54</v>
      </c>
      <c r="F472" t="s">
        <v>985</v>
      </c>
      <c r="G472" s="83">
        <v>11.9</v>
      </c>
      <c r="H472" s="83">
        <v>64260</v>
      </c>
      <c r="I472" t="s">
        <v>986</v>
      </c>
      <c r="J472" s="83">
        <v>19.100000000000001</v>
      </c>
      <c r="K472" s="83">
        <v>103176.18</v>
      </c>
      <c r="L472" t="s">
        <v>623</v>
      </c>
      <c r="M472">
        <v>-38952.36</v>
      </c>
      <c r="N472" s="84">
        <v>-5.6300000000000003E-2</v>
      </c>
    </row>
    <row r="473" spans="3:14" x14ac:dyDescent="0.25">
      <c r="C473">
        <v>355</v>
      </c>
      <c r="D473" t="s">
        <v>581</v>
      </c>
      <c r="E473">
        <v>106</v>
      </c>
      <c r="F473" t="s">
        <v>957</v>
      </c>
      <c r="G473" s="83">
        <v>5.8</v>
      </c>
      <c r="H473" s="83">
        <v>61480</v>
      </c>
      <c r="I473" t="s">
        <v>989</v>
      </c>
      <c r="J473" s="83">
        <v>6.1</v>
      </c>
      <c r="K473" s="83">
        <v>64731.02</v>
      </c>
      <c r="L473" t="s">
        <v>623</v>
      </c>
      <c r="M473">
        <v>-3322.04</v>
      </c>
      <c r="N473" s="84">
        <v>-1.41E-2</v>
      </c>
    </row>
    <row r="474" spans="3:14" x14ac:dyDescent="0.25">
      <c r="C474">
        <v>356</v>
      </c>
      <c r="D474" t="s">
        <v>581</v>
      </c>
      <c r="E474">
        <v>125</v>
      </c>
      <c r="F474" t="s">
        <v>963</v>
      </c>
      <c r="G474" s="83">
        <v>4.9000000000000004</v>
      </c>
      <c r="H474" s="83">
        <v>61250</v>
      </c>
      <c r="I474" t="s">
        <v>989</v>
      </c>
      <c r="J474" s="83">
        <v>5.6</v>
      </c>
      <c r="K474" s="83">
        <v>70083.75</v>
      </c>
      <c r="L474" t="s">
        <v>623</v>
      </c>
      <c r="M474">
        <v>-8917.5</v>
      </c>
      <c r="N474" s="84">
        <v>-3.2300000000000002E-2</v>
      </c>
    </row>
    <row r="475" spans="3:14" x14ac:dyDescent="0.25">
      <c r="C475">
        <v>357</v>
      </c>
      <c r="D475" t="s">
        <v>581</v>
      </c>
      <c r="E475">
        <v>148</v>
      </c>
      <c r="F475" t="s">
        <v>965</v>
      </c>
      <c r="G475" s="83">
        <v>4.1500000000000004</v>
      </c>
      <c r="H475" s="83">
        <v>61420</v>
      </c>
      <c r="I475" t="s">
        <v>989</v>
      </c>
      <c r="J475" s="83">
        <v>5.2</v>
      </c>
      <c r="K475" s="83">
        <v>77059.16</v>
      </c>
      <c r="L475" t="s">
        <v>623</v>
      </c>
      <c r="M475">
        <v>-15738.32</v>
      </c>
      <c r="N475" s="84">
        <v>-4.87E-2</v>
      </c>
    </row>
    <row r="476" spans="3:14" x14ac:dyDescent="0.25">
      <c r="C476">
        <v>358</v>
      </c>
      <c r="D476" t="s">
        <v>581</v>
      </c>
      <c r="E476">
        <v>167</v>
      </c>
      <c r="F476" t="s">
        <v>964</v>
      </c>
      <c r="G476" s="83">
        <v>3.7</v>
      </c>
      <c r="H476" s="83">
        <v>61790</v>
      </c>
      <c r="I476" t="s">
        <v>989</v>
      </c>
      <c r="J476" s="83">
        <v>4.55</v>
      </c>
      <c r="K476" s="83">
        <v>76096.89</v>
      </c>
      <c r="L476" t="s">
        <v>623</v>
      </c>
      <c r="M476">
        <v>-14418.78</v>
      </c>
      <c r="N476" s="84">
        <v>-4.0500000000000001E-2</v>
      </c>
    </row>
    <row r="477" spans="3:14" x14ac:dyDescent="0.25">
      <c r="C477">
        <v>359</v>
      </c>
      <c r="D477" t="s">
        <v>581</v>
      </c>
      <c r="E477">
        <v>152</v>
      </c>
      <c r="F477" t="s">
        <v>959</v>
      </c>
      <c r="G477" s="83">
        <v>4</v>
      </c>
      <c r="H477" s="83">
        <v>60800</v>
      </c>
      <c r="I477" t="s">
        <v>989</v>
      </c>
      <c r="J477" s="83">
        <v>4.25</v>
      </c>
      <c r="K477" s="83">
        <v>64701.84</v>
      </c>
      <c r="L477" t="s">
        <v>623</v>
      </c>
      <c r="M477">
        <v>-4003.68</v>
      </c>
      <c r="N477" s="84">
        <v>-1.32E-2</v>
      </c>
    </row>
    <row r="478" spans="3:14" x14ac:dyDescent="0.25">
      <c r="C478">
        <v>360</v>
      </c>
      <c r="D478" t="s">
        <v>669</v>
      </c>
      <c r="E478">
        <v>58</v>
      </c>
      <c r="F478" t="s">
        <v>988</v>
      </c>
      <c r="G478" s="83">
        <v>10.9</v>
      </c>
      <c r="H478" s="83">
        <v>63220</v>
      </c>
      <c r="I478" t="s">
        <v>989</v>
      </c>
      <c r="J478" s="83">
        <v>19.399999999999999</v>
      </c>
      <c r="K478" s="83">
        <v>112558.86</v>
      </c>
      <c r="L478" t="s">
        <v>623</v>
      </c>
      <c r="M478">
        <v>-49377.72</v>
      </c>
      <c r="N478" s="84">
        <v>-9.5500000000000002E-2</v>
      </c>
    </row>
    <row r="479" spans="3:14" x14ac:dyDescent="0.25">
      <c r="C479">
        <v>361</v>
      </c>
      <c r="D479" t="s">
        <v>669</v>
      </c>
      <c r="E479">
        <v>65</v>
      </c>
      <c r="F479" t="s">
        <v>990</v>
      </c>
      <c r="G479" s="83">
        <v>9.8000000000000007</v>
      </c>
      <c r="H479" s="83">
        <v>63700</v>
      </c>
      <c r="I479" t="s">
        <v>989</v>
      </c>
      <c r="J479" s="83">
        <v>16.8</v>
      </c>
      <c r="K479" s="83">
        <v>109243.55</v>
      </c>
      <c r="L479" t="s">
        <v>623</v>
      </c>
      <c r="M479">
        <v>-45587.1</v>
      </c>
      <c r="N479" s="84">
        <v>-8.2299999999999998E-2</v>
      </c>
    </row>
    <row r="480" spans="3:14" x14ac:dyDescent="0.25">
      <c r="C480">
        <v>362</v>
      </c>
      <c r="D480" t="s">
        <v>669</v>
      </c>
      <c r="E480">
        <v>77</v>
      </c>
      <c r="F480" t="s">
        <v>984</v>
      </c>
      <c r="G480" s="83">
        <v>8.3000000000000007</v>
      </c>
      <c r="H480" s="83">
        <v>63910</v>
      </c>
      <c r="I480" t="s">
        <v>989</v>
      </c>
      <c r="J480" s="83">
        <v>13.85</v>
      </c>
      <c r="K480" s="83">
        <v>106696.59</v>
      </c>
      <c r="L480" t="s">
        <v>623</v>
      </c>
      <c r="M480">
        <v>-42838.18</v>
      </c>
      <c r="N480" s="84">
        <v>-6.8099999999999994E-2</v>
      </c>
    </row>
    <row r="481" spans="3:14" x14ac:dyDescent="0.25">
      <c r="C481">
        <v>363</v>
      </c>
      <c r="D481" t="s">
        <v>669</v>
      </c>
      <c r="E481">
        <v>75</v>
      </c>
      <c r="F481" t="s">
        <v>991</v>
      </c>
      <c r="G481" s="83">
        <v>8.5</v>
      </c>
      <c r="H481" s="83">
        <v>63750</v>
      </c>
      <c r="I481" t="s">
        <v>989</v>
      </c>
      <c r="J481" s="83">
        <v>17.45</v>
      </c>
      <c r="K481" s="83">
        <v>130925.25</v>
      </c>
      <c r="L481" t="s">
        <v>623</v>
      </c>
      <c r="M481">
        <v>-67225.5</v>
      </c>
      <c r="N481" s="84">
        <v>-9.8000000000000004E-2</v>
      </c>
    </row>
    <row r="482" spans="3:14" x14ac:dyDescent="0.25">
      <c r="C482">
        <v>364</v>
      </c>
      <c r="D482" t="s">
        <v>581</v>
      </c>
      <c r="E482">
        <v>89</v>
      </c>
      <c r="F482" t="s">
        <v>992</v>
      </c>
      <c r="G482" s="83">
        <v>6.75</v>
      </c>
      <c r="H482" s="83">
        <v>60075</v>
      </c>
      <c r="I482" t="s">
        <v>989</v>
      </c>
      <c r="J482" s="83">
        <v>10.9</v>
      </c>
      <c r="K482" s="83">
        <v>97069.63</v>
      </c>
      <c r="L482" t="s">
        <v>623</v>
      </c>
      <c r="M482">
        <v>-37054.26</v>
      </c>
      <c r="N482" s="84">
        <v>-0.1474</v>
      </c>
    </row>
    <row r="483" spans="3:14" x14ac:dyDescent="0.25">
      <c r="C483">
        <v>365</v>
      </c>
      <c r="D483" t="s">
        <v>993</v>
      </c>
      <c r="E483">
        <v>87</v>
      </c>
      <c r="F483" t="s">
        <v>994</v>
      </c>
      <c r="G483" s="83">
        <v>5.4</v>
      </c>
      <c r="H483" s="83">
        <v>46980</v>
      </c>
      <c r="I483" t="s">
        <v>1011</v>
      </c>
      <c r="J483" s="83">
        <v>1.05</v>
      </c>
      <c r="K483" s="83">
        <v>9193.2900000000009</v>
      </c>
      <c r="L483" t="s">
        <v>399</v>
      </c>
      <c r="M483">
        <v>37728.42</v>
      </c>
      <c r="N483" s="84">
        <v>8.7400000000000005E-2</v>
      </c>
    </row>
    <row r="484" spans="3:14" x14ac:dyDescent="0.25">
      <c r="C484">
        <v>366</v>
      </c>
      <c r="D484" t="s">
        <v>993</v>
      </c>
      <c r="E484">
        <v>92</v>
      </c>
      <c r="F484" t="s">
        <v>999</v>
      </c>
      <c r="G484" s="83">
        <v>5.6</v>
      </c>
      <c r="H484" s="83">
        <v>51520</v>
      </c>
      <c r="I484" t="s">
        <v>1293</v>
      </c>
      <c r="J484" s="83">
        <v>1</v>
      </c>
      <c r="K484" s="83">
        <v>9261.64</v>
      </c>
      <c r="L484" t="s">
        <v>399</v>
      </c>
      <c r="M484">
        <v>42196.72</v>
      </c>
      <c r="N484" s="84">
        <v>8.8400000000000006E-2</v>
      </c>
    </row>
    <row r="485" spans="3:14" x14ac:dyDescent="0.25">
      <c r="C485">
        <v>367</v>
      </c>
      <c r="D485" t="s">
        <v>524</v>
      </c>
      <c r="E485">
        <v>80</v>
      </c>
      <c r="F485" t="s">
        <v>951</v>
      </c>
      <c r="G485" s="83">
        <v>7.6</v>
      </c>
      <c r="H485" s="83">
        <v>60800</v>
      </c>
      <c r="I485" t="s">
        <v>1016</v>
      </c>
      <c r="J485" s="83">
        <v>1.3</v>
      </c>
      <c r="K485" s="83">
        <v>10453.6</v>
      </c>
      <c r="L485" t="s">
        <v>399</v>
      </c>
      <c r="M485">
        <v>50292.800000000003</v>
      </c>
      <c r="N485" s="84">
        <v>7.6300000000000007E-2</v>
      </c>
    </row>
    <row r="486" spans="3:14" x14ac:dyDescent="0.25">
      <c r="C486">
        <v>368</v>
      </c>
      <c r="D486" t="s">
        <v>930</v>
      </c>
      <c r="E486">
        <v>120</v>
      </c>
      <c r="F486" t="s">
        <v>961</v>
      </c>
      <c r="G486" s="83">
        <v>5.0999999999999996</v>
      </c>
      <c r="H486" s="83">
        <v>61200</v>
      </c>
      <c r="I486" t="s">
        <v>1016</v>
      </c>
      <c r="J486" s="83">
        <v>0.96</v>
      </c>
      <c r="K486" s="83">
        <v>11600.4</v>
      </c>
      <c r="L486" t="s">
        <v>399</v>
      </c>
      <c r="M486">
        <v>49519.199999999997</v>
      </c>
      <c r="N486" s="84">
        <v>0.1118</v>
      </c>
    </row>
    <row r="487" spans="3:14" x14ac:dyDescent="0.25">
      <c r="C487">
        <v>369</v>
      </c>
      <c r="D487" t="s">
        <v>993</v>
      </c>
      <c r="E487">
        <v>102</v>
      </c>
      <c r="F487" t="s">
        <v>1003</v>
      </c>
      <c r="G487" s="83">
        <v>5.9</v>
      </c>
      <c r="H487" s="83">
        <v>60180</v>
      </c>
      <c r="I487" t="s">
        <v>1016</v>
      </c>
      <c r="J487" s="83">
        <v>0.75</v>
      </c>
      <c r="K487" s="83">
        <v>7718.34</v>
      </c>
      <c r="L487" t="s">
        <v>399</v>
      </c>
      <c r="M487">
        <v>52393.32</v>
      </c>
      <c r="N487" s="84">
        <v>9.4899999999999998E-2</v>
      </c>
    </row>
    <row r="488" spans="3:14" x14ac:dyDescent="0.25">
      <c r="C488">
        <v>370</v>
      </c>
      <c r="D488" t="s">
        <v>589</v>
      </c>
      <c r="E488">
        <v>60</v>
      </c>
      <c r="F488" t="s">
        <v>1000</v>
      </c>
      <c r="G488" s="83">
        <v>9.8000000000000007</v>
      </c>
      <c r="H488" s="83">
        <v>58800</v>
      </c>
      <c r="I488" t="s">
        <v>1017</v>
      </c>
      <c r="J488" s="83">
        <v>19.149999999999999</v>
      </c>
      <c r="K488" s="83">
        <v>114940.2</v>
      </c>
      <c r="L488" t="s">
        <v>395</v>
      </c>
      <c r="M488">
        <v>-56180.4</v>
      </c>
      <c r="N488" s="84">
        <v>-0.1038</v>
      </c>
    </row>
    <row r="489" spans="3:14" x14ac:dyDescent="0.25">
      <c r="C489">
        <v>371</v>
      </c>
      <c r="D489" t="s">
        <v>589</v>
      </c>
      <c r="E489">
        <v>65</v>
      </c>
      <c r="F489" t="s">
        <v>1018</v>
      </c>
      <c r="G489" s="83">
        <v>9.0500000000000007</v>
      </c>
      <c r="H489" s="83">
        <v>58825</v>
      </c>
      <c r="I489" t="s">
        <v>1017</v>
      </c>
      <c r="J489" s="83">
        <v>18.350000000000001</v>
      </c>
      <c r="K489" s="83">
        <v>119318.55</v>
      </c>
      <c r="L489" t="s">
        <v>395</v>
      </c>
      <c r="M489">
        <v>-60537.1</v>
      </c>
      <c r="N489" s="84">
        <v>-0.1024</v>
      </c>
    </row>
    <row r="490" spans="3:14" x14ac:dyDescent="0.25">
      <c r="C490">
        <v>372</v>
      </c>
      <c r="D490" t="s">
        <v>589</v>
      </c>
      <c r="E490">
        <v>71</v>
      </c>
      <c r="F490" t="s">
        <v>1002</v>
      </c>
      <c r="G490" s="83">
        <v>8.25</v>
      </c>
      <c r="H490" s="83">
        <v>58575</v>
      </c>
      <c r="I490" t="s">
        <v>1017</v>
      </c>
      <c r="J490" s="83">
        <v>16.2</v>
      </c>
      <c r="K490" s="83">
        <v>115067.57</v>
      </c>
      <c r="L490" t="s">
        <v>395</v>
      </c>
      <c r="M490">
        <v>-56540.14</v>
      </c>
      <c r="N490" s="84">
        <v>-9.1800000000000007E-2</v>
      </c>
    </row>
    <row r="491" spans="3:14" x14ac:dyDescent="0.25">
      <c r="C491">
        <v>373</v>
      </c>
      <c r="D491" t="s">
        <v>993</v>
      </c>
      <c r="E491">
        <v>88</v>
      </c>
      <c r="F491" t="s">
        <v>989</v>
      </c>
      <c r="G491" s="83">
        <v>6.1</v>
      </c>
      <c r="H491" s="83">
        <v>53680</v>
      </c>
      <c r="I491" t="s">
        <v>1294</v>
      </c>
      <c r="J491" s="83">
        <v>1.1499999999999999</v>
      </c>
      <c r="K491" s="83">
        <v>10178.959999999999</v>
      </c>
      <c r="L491" t="s">
        <v>399</v>
      </c>
      <c r="M491">
        <v>43442.080000000002</v>
      </c>
      <c r="N491" s="84">
        <v>8.7499999999999994E-2</v>
      </c>
    </row>
    <row r="492" spans="3:14" x14ac:dyDescent="0.25">
      <c r="C492">
        <v>374</v>
      </c>
      <c r="D492" t="s">
        <v>930</v>
      </c>
      <c r="E492">
        <v>156</v>
      </c>
      <c r="F492" t="s">
        <v>969</v>
      </c>
      <c r="G492" s="83">
        <v>4</v>
      </c>
      <c r="H492" s="83">
        <v>62400</v>
      </c>
      <c r="I492" t="s">
        <v>1031</v>
      </c>
      <c r="J492" s="83">
        <v>0.73</v>
      </c>
      <c r="K492" s="83">
        <v>11492.52</v>
      </c>
      <c r="L492" t="s">
        <v>399</v>
      </c>
      <c r="M492">
        <v>50802.96</v>
      </c>
      <c r="N492" s="84">
        <v>7.9399999999999998E-2</v>
      </c>
    </row>
    <row r="493" spans="3:14" x14ac:dyDescent="0.25">
      <c r="C493">
        <v>375</v>
      </c>
      <c r="D493" t="s">
        <v>930</v>
      </c>
      <c r="E493">
        <v>156</v>
      </c>
      <c r="F493" t="s">
        <v>972</v>
      </c>
      <c r="G493" s="83">
        <v>4.05</v>
      </c>
      <c r="H493" s="83">
        <v>63180</v>
      </c>
      <c r="I493" t="s">
        <v>1031</v>
      </c>
      <c r="J493" s="83">
        <v>0.79</v>
      </c>
      <c r="K493" s="83">
        <v>12428.52</v>
      </c>
      <c r="L493" t="s">
        <v>399</v>
      </c>
      <c r="M493">
        <v>50646.96</v>
      </c>
      <c r="N493" s="84">
        <v>7.7399999999999997E-2</v>
      </c>
    </row>
    <row r="494" spans="3:14" x14ac:dyDescent="0.25">
      <c r="C494">
        <v>376</v>
      </c>
      <c r="D494" t="s">
        <v>930</v>
      </c>
      <c r="E494">
        <v>126</v>
      </c>
      <c r="F494" t="s">
        <v>967</v>
      </c>
      <c r="G494" s="83">
        <v>4.9000000000000004</v>
      </c>
      <c r="H494" s="83">
        <v>61740</v>
      </c>
      <c r="I494" t="s">
        <v>1024</v>
      </c>
      <c r="J494" s="83">
        <v>0.96</v>
      </c>
      <c r="K494" s="83">
        <v>12180.42</v>
      </c>
      <c r="L494" t="s">
        <v>399</v>
      </c>
      <c r="M494">
        <v>49475.16</v>
      </c>
      <c r="N494" s="84">
        <v>9.7900000000000001E-2</v>
      </c>
    </row>
    <row r="495" spans="3:14" x14ac:dyDescent="0.25">
      <c r="C495">
        <v>377</v>
      </c>
      <c r="D495" t="s">
        <v>996</v>
      </c>
      <c r="E495">
        <v>61</v>
      </c>
      <c r="F495" t="s">
        <v>997</v>
      </c>
      <c r="G495" s="83">
        <v>8.3000000000000007</v>
      </c>
      <c r="H495" s="83">
        <v>50630</v>
      </c>
      <c r="I495" t="s">
        <v>1024</v>
      </c>
      <c r="J495" s="83">
        <v>1.58</v>
      </c>
      <c r="K495" s="83">
        <v>9678.8700000000008</v>
      </c>
      <c r="L495" t="s">
        <v>399</v>
      </c>
      <c r="M495">
        <v>40910.26</v>
      </c>
      <c r="N495" s="84">
        <v>8.7400000000000005E-2</v>
      </c>
    </row>
    <row r="496" spans="3:14" x14ac:dyDescent="0.25">
      <c r="C496">
        <v>378</v>
      </c>
      <c r="D496" t="s">
        <v>996</v>
      </c>
      <c r="E496">
        <v>63</v>
      </c>
      <c r="F496" t="s">
        <v>998</v>
      </c>
      <c r="G496" s="83">
        <v>8.3000000000000007</v>
      </c>
      <c r="H496" s="83">
        <v>52290</v>
      </c>
      <c r="I496" t="s">
        <v>1024</v>
      </c>
      <c r="J496" s="83">
        <v>1.66</v>
      </c>
      <c r="K496" s="83">
        <v>10500.21</v>
      </c>
      <c r="L496" t="s">
        <v>399</v>
      </c>
      <c r="M496">
        <v>41747.58</v>
      </c>
      <c r="N496" s="84">
        <v>8.5300000000000001E-2</v>
      </c>
    </row>
    <row r="497" spans="3:14" x14ac:dyDescent="0.25">
      <c r="C497">
        <v>379</v>
      </c>
      <c r="D497" t="s">
        <v>996</v>
      </c>
      <c r="E497">
        <v>73</v>
      </c>
      <c r="F497" t="s">
        <v>1001</v>
      </c>
      <c r="G497" s="83">
        <v>7.35</v>
      </c>
      <c r="H497" s="83">
        <v>53655</v>
      </c>
      <c r="I497" t="s">
        <v>1026</v>
      </c>
      <c r="J497" s="83">
        <v>1.1499999999999999</v>
      </c>
      <c r="K497" s="83">
        <v>8443.91</v>
      </c>
      <c r="L497" t="s">
        <v>399</v>
      </c>
      <c r="M497">
        <v>45162.18</v>
      </c>
      <c r="N497" s="84">
        <v>8.0699999999999994E-2</v>
      </c>
    </row>
    <row r="498" spans="3:14" x14ac:dyDescent="0.25">
      <c r="C498">
        <v>380</v>
      </c>
      <c r="D498" t="s">
        <v>930</v>
      </c>
      <c r="E498">
        <v>145</v>
      </c>
      <c r="F498" t="s">
        <v>970</v>
      </c>
      <c r="G498" s="83">
        <v>4.3</v>
      </c>
      <c r="H498" s="83">
        <v>62350</v>
      </c>
      <c r="I498" t="s">
        <v>1034</v>
      </c>
      <c r="J498" s="83">
        <v>0.74</v>
      </c>
      <c r="K498" s="83">
        <v>10827.15</v>
      </c>
      <c r="L498" t="s">
        <v>399</v>
      </c>
      <c r="M498">
        <v>51425.7</v>
      </c>
      <c r="N498" s="84">
        <v>8.9300000000000004E-2</v>
      </c>
    </row>
    <row r="499" spans="3:14" x14ac:dyDescent="0.25">
      <c r="C499">
        <v>381</v>
      </c>
      <c r="D499" t="s">
        <v>943</v>
      </c>
      <c r="E499">
        <v>34</v>
      </c>
      <c r="F499" t="s">
        <v>1012</v>
      </c>
      <c r="G499" s="83">
        <v>15.25</v>
      </c>
      <c r="H499" s="83">
        <v>51850</v>
      </c>
      <c r="I499" t="s">
        <v>1034</v>
      </c>
      <c r="J499" s="83">
        <v>2.78</v>
      </c>
      <c r="K499" s="83">
        <v>9474.7800000000007</v>
      </c>
      <c r="L499" t="s">
        <v>399</v>
      </c>
      <c r="M499">
        <v>42352.44</v>
      </c>
      <c r="N499" s="84">
        <v>8.0500000000000002E-2</v>
      </c>
    </row>
    <row r="500" spans="3:14" x14ac:dyDescent="0.25">
      <c r="C500">
        <v>382</v>
      </c>
      <c r="D500" t="s">
        <v>993</v>
      </c>
      <c r="E500">
        <v>99</v>
      </c>
      <c r="F500" t="s">
        <v>1009</v>
      </c>
      <c r="G500" s="83">
        <v>5.8</v>
      </c>
      <c r="H500" s="83">
        <v>57420</v>
      </c>
      <c r="I500" t="s">
        <v>1034</v>
      </c>
      <c r="J500" s="83">
        <v>0.95</v>
      </c>
      <c r="K500" s="83">
        <v>9471.33</v>
      </c>
      <c r="L500" t="s">
        <v>399</v>
      </c>
      <c r="M500">
        <v>47882.34</v>
      </c>
      <c r="N500" s="84">
        <v>7.8399999999999997E-2</v>
      </c>
    </row>
    <row r="501" spans="3:14" x14ac:dyDescent="0.25">
      <c r="C501">
        <v>383</v>
      </c>
      <c r="D501" t="s">
        <v>930</v>
      </c>
      <c r="E501">
        <v>161</v>
      </c>
      <c r="F501" t="s">
        <v>973</v>
      </c>
      <c r="G501" s="83">
        <v>3.9</v>
      </c>
      <c r="H501" s="83">
        <v>62790</v>
      </c>
      <c r="I501" t="s">
        <v>1295</v>
      </c>
      <c r="J501" s="83">
        <v>0.6</v>
      </c>
      <c r="K501" s="83">
        <v>9767.8700000000008</v>
      </c>
      <c r="L501" t="s">
        <v>399</v>
      </c>
      <c r="M501">
        <v>52914.26</v>
      </c>
      <c r="N501" s="84">
        <v>8.4099999999999994E-2</v>
      </c>
    </row>
    <row r="502" spans="3:14" x14ac:dyDescent="0.25">
      <c r="C502">
        <v>384</v>
      </c>
      <c r="D502" t="s">
        <v>930</v>
      </c>
      <c r="E502">
        <v>136</v>
      </c>
      <c r="F502" t="s">
        <v>981</v>
      </c>
      <c r="G502" s="83">
        <v>4.5999999999999996</v>
      </c>
      <c r="H502" s="83">
        <v>62560</v>
      </c>
      <c r="I502" t="s">
        <v>1295</v>
      </c>
      <c r="J502" s="83">
        <v>0.63</v>
      </c>
      <c r="K502" s="83">
        <v>8659.1200000000008</v>
      </c>
      <c r="L502" t="s">
        <v>399</v>
      </c>
      <c r="M502">
        <v>53809.760000000002</v>
      </c>
      <c r="N502" s="84">
        <v>9.5600000000000004E-2</v>
      </c>
    </row>
    <row r="503" spans="3:14" x14ac:dyDescent="0.25">
      <c r="C503">
        <v>385</v>
      </c>
      <c r="D503" t="s">
        <v>943</v>
      </c>
      <c r="E503">
        <v>35</v>
      </c>
      <c r="F503" t="s">
        <v>1021</v>
      </c>
      <c r="G503" s="83">
        <v>15.65</v>
      </c>
      <c r="H503" s="83">
        <v>54775</v>
      </c>
      <c r="I503" t="s">
        <v>1295</v>
      </c>
      <c r="J503" s="83">
        <v>2.59</v>
      </c>
      <c r="K503" s="83">
        <v>9088.4500000000007</v>
      </c>
      <c r="L503" t="s">
        <v>399</v>
      </c>
      <c r="M503">
        <v>45663.1</v>
      </c>
      <c r="N503" s="84">
        <v>8.1900000000000001E-2</v>
      </c>
    </row>
    <row r="504" spans="3:14" x14ac:dyDescent="0.25">
      <c r="C504">
        <v>386</v>
      </c>
      <c r="D504" t="s">
        <v>918</v>
      </c>
      <c r="E504">
        <v>38</v>
      </c>
      <c r="F504" t="s">
        <v>986</v>
      </c>
      <c r="G504" s="83">
        <v>15.25</v>
      </c>
      <c r="H504" s="83">
        <v>57950</v>
      </c>
      <c r="I504" t="s">
        <v>1036</v>
      </c>
      <c r="J504" s="83">
        <v>16.350000000000001</v>
      </c>
      <c r="K504" s="83">
        <v>62155.46</v>
      </c>
      <c r="L504" t="s">
        <v>623</v>
      </c>
      <c r="M504">
        <v>-4230.92</v>
      </c>
      <c r="N504" s="84">
        <v>-7.0000000000000001E-3</v>
      </c>
    </row>
    <row r="505" spans="3:14" x14ac:dyDescent="0.25">
      <c r="C505">
        <v>387</v>
      </c>
      <c r="D505" t="s">
        <v>918</v>
      </c>
      <c r="E505">
        <v>32</v>
      </c>
      <c r="F505" t="s">
        <v>1005</v>
      </c>
      <c r="G505" s="83">
        <v>15.2</v>
      </c>
      <c r="H505" s="83">
        <v>48640</v>
      </c>
      <c r="I505" t="s">
        <v>1036</v>
      </c>
      <c r="J505" s="83">
        <v>14.1</v>
      </c>
      <c r="K505" s="83">
        <v>45141.440000000002</v>
      </c>
      <c r="L505" t="s">
        <v>623</v>
      </c>
      <c r="M505">
        <v>3477.12</v>
      </c>
      <c r="N505" s="84">
        <v>7.0000000000000001E-3</v>
      </c>
    </row>
    <row r="506" spans="3:14" x14ac:dyDescent="0.25">
      <c r="C506">
        <v>388</v>
      </c>
      <c r="D506" t="s">
        <v>996</v>
      </c>
      <c r="E506">
        <v>67</v>
      </c>
      <c r="F506" t="s">
        <v>1014</v>
      </c>
      <c r="G506" s="83">
        <v>8.15</v>
      </c>
      <c r="H506" s="83">
        <v>54605</v>
      </c>
      <c r="I506" t="s">
        <v>1036</v>
      </c>
      <c r="J506" s="83">
        <v>1.54</v>
      </c>
      <c r="K506" s="83">
        <v>10362.89</v>
      </c>
      <c r="L506" t="s">
        <v>399</v>
      </c>
      <c r="M506">
        <v>44197.22</v>
      </c>
      <c r="N506" s="84">
        <v>8.0600000000000005E-2</v>
      </c>
    </row>
    <row r="507" spans="3:14" x14ac:dyDescent="0.25">
      <c r="C507">
        <v>389</v>
      </c>
      <c r="D507" t="s">
        <v>918</v>
      </c>
      <c r="E507">
        <v>39</v>
      </c>
      <c r="F507" t="s">
        <v>1035</v>
      </c>
      <c r="G507" s="83">
        <v>15.9</v>
      </c>
      <c r="H507" s="83">
        <v>62010</v>
      </c>
      <c r="I507" t="s">
        <v>1036</v>
      </c>
      <c r="J507" s="83">
        <v>29.8</v>
      </c>
      <c r="K507" s="83">
        <v>116246.13</v>
      </c>
      <c r="L507" t="s">
        <v>623</v>
      </c>
      <c r="M507">
        <v>-54262.26</v>
      </c>
      <c r="N507" s="84">
        <v>-7.9899999999999999E-2</v>
      </c>
    </row>
    <row r="508" spans="3:14" x14ac:dyDescent="0.25">
      <c r="C508">
        <v>390</v>
      </c>
      <c r="D508" t="s">
        <v>918</v>
      </c>
      <c r="E508">
        <v>33</v>
      </c>
      <c r="F508" t="s">
        <v>1037</v>
      </c>
      <c r="G508" s="83">
        <v>18.25</v>
      </c>
      <c r="H508" s="83">
        <v>60225</v>
      </c>
      <c r="I508" t="s">
        <v>1036</v>
      </c>
      <c r="J508" s="83">
        <v>32.700000000000003</v>
      </c>
      <c r="K508" s="83">
        <v>107932.11</v>
      </c>
      <c r="L508" t="s">
        <v>623</v>
      </c>
      <c r="M508">
        <v>-47729.22</v>
      </c>
      <c r="N508" s="84">
        <v>-8.1799999999999998E-2</v>
      </c>
    </row>
    <row r="509" spans="3:14" x14ac:dyDescent="0.25">
      <c r="C509">
        <v>391</v>
      </c>
      <c r="D509" t="s">
        <v>918</v>
      </c>
      <c r="E509">
        <v>38</v>
      </c>
      <c r="F509" t="s">
        <v>1038</v>
      </c>
      <c r="G509" s="83">
        <v>15.9</v>
      </c>
      <c r="H509" s="83">
        <v>60420</v>
      </c>
      <c r="I509" t="s">
        <v>1036</v>
      </c>
      <c r="J509" s="83">
        <v>26.85</v>
      </c>
      <c r="K509" s="83">
        <v>102055.46</v>
      </c>
      <c r="L509" t="s">
        <v>623</v>
      </c>
      <c r="M509">
        <v>-41660.92</v>
      </c>
      <c r="N509" s="84">
        <v>-6.4799999999999996E-2</v>
      </c>
    </row>
    <row r="510" spans="3:14" x14ac:dyDescent="0.25">
      <c r="C510">
        <v>392</v>
      </c>
      <c r="D510" t="s">
        <v>918</v>
      </c>
      <c r="E510">
        <v>40</v>
      </c>
      <c r="F510" t="s">
        <v>1039</v>
      </c>
      <c r="G510" s="83">
        <v>15.4</v>
      </c>
      <c r="H510" s="83">
        <v>61600</v>
      </c>
      <c r="I510" t="s">
        <v>1036</v>
      </c>
      <c r="J510" s="83">
        <v>24.45</v>
      </c>
      <c r="K510" s="83">
        <v>97826.8</v>
      </c>
      <c r="L510" t="s">
        <v>623</v>
      </c>
      <c r="M510">
        <v>-36253.599999999999</v>
      </c>
      <c r="N510" s="84">
        <v>-5.5100000000000003E-2</v>
      </c>
    </row>
    <row r="511" spans="3:14" x14ac:dyDescent="0.25">
      <c r="C511">
        <v>393</v>
      </c>
      <c r="D511" t="s">
        <v>943</v>
      </c>
      <c r="E511">
        <v>40</v>
      </c>
      <c r="F511" t="s">
        <v>1033</v>
      </c>
      <c r="G511" s="83">
        <v>14.6</v>
      </c>
      <c r="H511" s="83">
        <v>58400</v>
      </c>
      <c r="I511" t="s">
        <v>1296</v>
      </c>
      <c r="J511" s="83">
        <v>2.9</v>
      </c>
      <c r="K511" s="83">
        <v>11626.8</v>
      </c>
      <c r="L511" t="s">
        <v>399</v>
      </c>
      <c r="M511">
        <v>46746.400000000001</v>
      </c>
      <c r="N511" s="84">
        <v>7.2900000000000006E-2</v>
      </c>
    </row>
    <row r="512" spans="3:14" x14ac:dyDescent="0.25">
      <c r="C512">
        <v>394</v>
      </c>
      <c r="D512" t="s">
        <v>943</v>
      </c>
      <c r="E512">
        <v>39</v>
      </c>
      <c r="F512" t="s">
        <v>1032</v>
      </c>
      <c r="G512" s="83">
        <v>15.35</v>
      </c>
      <c r="H512" s="83">
        <v>59865</v>
      </c>
      <c r="I512" t="s">
        <v>1297</v>
      </c>
      <c r="J512" s="83">
        <v>2.86</v>
      </c>
      <c r="K512" s="83">
        <v>11180.13</v>
      </c>
      <c r="L512" t="s">
        <v>399</v>
      </c>
      <c r="M512">
        <v>48658.74</v>
      </c>
      <c r="N512" s="84">
        <v>7.5800000000000006E-2</v>
      </c>
    </row>
    <row r="513" spans="3:14" x14ac:dyDescent="0.25">
      <c r="C513">
        <v>395</v>
      </c>
      <c r="D513" t="s">
        <v>943</v>
      </c>
      <c r="E513">
        <v>38</v>
      </c>
      <c r="F513" t="s">
        <v>1030</v>
      </c>
      <c r="G513" s="83">
        <v>15.65</v>
      </c>
      <c r="H513" s="83">
        <v>59470</v>
      </c>
      <c r="I513" t="s">
        <v>1298</v>
      </c>
      <c r="J513" s="83">
        <v>2.87</v>
      </c>
      <c r="K513" s="83">
        <v>10931.46</v>
      </c>
      <c r="L513" t="s">
        <v>399</v>
      </c>
      <c r="M513">
        <v>48513.08</v>
      </c>
      <c r="N513" s="84">
        <v>7.5399999999999995E-2</v>
      </c>
    </row>
    <row r="514" spans="3:14" x14ac:dyDescent="0.25">
      <c r="C514">
        <v>396</v>
      </c>
      <c r="D514" t="s">
        <v>996</v>
      </c>
      <c r="E514">
        <v>61</v>
      </c>
      <c r="F514" t="s">
        <v>1006</v>
      </c>
      <c r="G514" s="83">
        <v>9.8000000000000007</v>
      </c>
      <c r="H514" s="83">
        <v>59780</v>
      </c>
      <c r="I514" t="s">
        <v>1040</v>
      </c>
      <c r="J514" s="83">
        <v>1.91</v>
      </c>
      <c r="K514" s="83">
        <v>11691.87</v>
      </c>
      <c r="L514" t="s">
        <v>399</v>
      </c>
      <c r="M514">
        <v>48047.26</v>
      </c>
      <c r="N514" s="84">
        <v>9.1399999999999995E-2</v>
      </c>
    </row>
    <row r="515" spans="3:14" x14ac:dyDescent="0.25">
      <c r="C515">
        <v>397</v>
      </c>
      <c r="D515" t="s">
        <v>996</v>
      </c>
      <c r="E515">
        <v>73</v>
      </c>
      <c r="F515" t="s">
        <v>1008</v>
      </c>
      <c r="G515" s="83">
        <v>8.35</v>
      </c>
      <c r="H515" s="83">
        <v>60955</v>
      </c>
      <c r="I515" t="s">
        <v>1041</v>
      </c>
      <c r="J515" s="83">
        <v>1.58</v>
      </c>
      <c r="K515" s="83">
        <v>11582.91</v>
      </c>
      <c r="L515" t="s">
        <v>399</v>
      </c>
      <c r="M515">
        <v>49323.18</v>
      </c>
      <c r="N515" s="84">
        <v>7.8E-2</v>
      </c>
    </row>
    <row r="516" spans="3:14" x14ac:dyDescent="0.25">
      <c r="C516">
        <v>398</v>
      </c>
      <c r="D516" t="s">
        <v>996</v>
      </c>
      <c r="E516">
        <v>74</v>
      </c>
      <c r="F516" t="s">
        <v>1010</v>
      </c>
      <c r="G516" s="83">
        <v>8.3000000000000007</v>
      </c>
      <c r="H516" s="83">
        <v>61420</v>
      </c>
      <c r="I516" t="s">
        <v>1041</v>
      </c>
      <c r="J516" s="83">
        <v>1.5</v>
      </c>
      <c r="K516" s="83">
        <v>11149.58</v>
      </c>
      <c r="L516" t="s">
        <v>399</v>
      </c>
      <c r="M516">
        <v>50220.84</v>
      </c>
      <c r="N516" s="84">
        <v>7.9200000000000007E-2</v>
      </c>
    </row>
    <row r="517" spans="3:14" x14ac:dyDescent="0.25">
      <c r="C517">
        <v>399</v>
      </c>
      <c r="D517" t="s">
        <v>1044</v>
      </c>
      <c r="E517">
        <v>66</v>
      </c>
      <c r="F517" t="s">
        <v>1045</v>
      </c>
      <c r="G517" s="83">
        <v>9.25</v>
      </c>
      <c r="H517" s="83">
        <v>61050</v>
      </c>
      <c r="I517" t="s">
        <v>1046</v>
      </c>
      <c r="J517" s="83">
        <v>15.95</v>
      </c>
      <c r="K517" s="83">
        <v>105314.22</v>
      </c>
      <c r="L517" t="s">
        <v>623</v>
      </c>
      <c r="M517">
        <v>-44308.44</v>
      </c>
      <c r="N517" s="84">
        <v>-6.6600000000000006E-2</v>
      </c>
    </row>
    <row r="518" spans="3:14" x14ac:dyDescent="0.25">
      <c r="C518">
        <v>400</v>
      </c>
      <c r="D518" t="s">
        <v>943</v>
      </c>
      <c r="E518">
        <v>28</v>
      </c>
      <c r="F518" t="s">
        <v>1054</v>
      </c>
      <c r="G518" s="83">
        <v>24.25</v>
      </c>
      <c r="H518" s="83">
        <v>67900</v>
      </c>
      <c r="I518" t="s">
        <v>1053</v>
      </c>
      <c r="J518" s="83">
        <v>57.15</v>
      </c>
      <c r="K518" s="83">
        <v>160038.76</v>
      </c>
      <c r="L518" t="s">
        <v>395</v>
      </c>
      <c r="M518">
        <v>-92157.52</v>
      </c>
      <c r="N518" s="84">
        <v>-0.1313</v>
      </c>
    </row>
    <row r="519" spans="3:14" x14ac:dyDescent="0.25">
      <c r="C519">
        <v>401</v>
      </c>
      <c r="D519" t="s">
        <v>930</v>
      </c>
      <c r="E519">
        <v>97</v>
      </c>
      <c r="F519" t="s">
        <v>1016</v>
      </c>
      <c r="G519" s="83">
        <v>6.35</v>
      </c>
      <c r="H519" s="83">
        <v>61595</v>
      </c>
      <c r="I519" t="s">
        <v>1056</v>
      </c>
      <c r="J519" s="83">
        <v>8.4499999999999993</v>
      </c>
      <c r="K519" s="83">
        <v>82029.990000000005</v>
      </c>
      <c r="L519" t="s">
        <v>395</v>
      </c>
      <c r="M519">
        <v>-20499.98</v>
      </c>
      <c r="N519" s="84">
        <v>-4.0899999999999999E-2</v>
      </c>
    </row>
    <row r="520" spans="3:14" x14ac:dyDescent="0.25">
      <c r="C520">
        <v>402</v>
      </c>
      <c r="D520" t="s">
        <v>930</v>
      </c>
      <c r="E520">
        <v>85</v>
      </c>
      <c r="F520" t="s">
        <v>1031</v>
      </c>
      <c r="G520" s="83">
        <v>7.05</v>
      </c>
      <c r="H520" s="83">
        <v>59925</v>
      </c>
      <c r="I520" t="s">
        <v>1056</v>
      </c>
      <c r="J520" s="83">
        <v>9.35</v>
      </c>
      <c r="K520" s="83">
        <v>79531.95</v>
      </c>
      <c r="L520" t="s">
        <v>395</v>
      </c>
      <c r="M520">
        <v>-19663.900000000001</v>
      </c>
      <c r="N520" s="84">
        <v>-4.3700000000000003E-2</v>
      </c>
    </row>
    <row r="521" spans="3:14" x14ac:dyDescent="0.25">
      <c r="C521">
        <v>403</v>
      </c>
      <c r="D521" t="s">
        <v>930</v>
      </c>
      <c r="E521">
        <v>89</v>
      </c>
      <c r="F521" t="s">
        <v>1020</v>
      </c>
      <c r="G521" s="83">
        <v>6.65</v>
      </c>
      <c r="H521" s="83">
        <v>59185</v>
      </c>
      <c r="I521" t="s">
        <v>1056</v>
      </c>
      <c r="J521" s="83">
        <v>9.1</v>
      </c>
      <c r="K521" s="83">
        <v>81049.63</v>
      </c>
      <c r="L521" t="s">
        <v>395</v>
      </c>
      <c r="M521">
        <v>-21924.26</v>
      </c>
      <c r="N521" s="84">
        <v>-4.7100000000000003E-2</v>
      </c>
    </row>
    <row r="522" spans="3:14" x14ac:dyDescent="0.25">
      <c r="C522">
        <v>404</v>
      </c>
      <c r="D522" t="s">
        <v>930</v>
      </c>
      <c r="E522">
        <v>109</v>
      </c>
      <c r="F522" t="s">
        <v>1024</v>
      </c>
      <c r="G522" s="83">
        <v>5.65</v>
      </c>
      <c r="H522" s="83">
        <v>61585</v>
      </c>
      <c r="I522" t="s">
        <v>1056</v>
      </c>
      <c r="J522" s="83">
        <v>8</v>
      </c>
      <c r="K522" s="83">
        <v>87273.03</v>
      </c>
      <c r="L522" t="s">
        <v>395</v>
      </c>
      <c r="M522">
        <v>-25761.06</v>
      </c>
      <c r="N522" s="84">
        <v>-4.5999999999999999E-2</v>
      </c>
    </row>
    <row r="523" spans="3:14" x14ac:dyDescent="0.25">
      <c r="C523">
        <v>405</v>
      </c>
      <c r="D523" t="s">
        <v>930</v>
      </c>
      <c r="E523">
        <v>124</v>
      </c>
      <c r="F523" t="s">
        <v>1034</v>
      </c>
      <c r="G523" s="83">
        <v>5.25</v>
      </c>
      <c r="H523" s="83">
        <v>65100</v>
      </c>
      <c r="I523" t="s">
        <v>1056</v>
      </c>
      <c r="J523" s="83">
        <v>9.85</v>
      </c>
      <c r="K523" s="83">
        <v>122223.08</v>
      </c>
      <c r="L523" t="s">
        <v>395</v>
      </c>
      <c r="M523">
        <v>-57206.16</v>
      </c>
      <c r="N523" s="84">
        <v>-8.2799999999999999E-2</v>
      </c>
    </row>
    <row r="524" spans="3:14" x14ac:dyDescent="0.25">
      <c r="C524">
        <v>406</v>
      </c>
      <c r="D524" t="s">
        <v>930</v>
      </c>
      <c r="E524">
        <v>114</v>
      </c>
      <c r="F524" t="s">
        <v>1049</v>
      </c>
      <c r="G524" s="83">
        <v>5.6</v>
      </c>
      <c r="H524" s="83">
        <v>63840</v>
      </c>
      <c r="I524" t="s">
        <v>1056</v>
      </c>
      <c r="J524" s="83">
        <v>10.65</v>
      </c>
      <c r="K524" s="83">
        <v>121486.38</v>
      </c>
      <c r="L524" t="s">
        <v>395</v>
      </c>
      <c r="M524">
        <v>-57722.76</v>
      </c>
      <c r="N524" s="84">
        <v>-8.9800000000000005E-2</v>
      </c>
    </row>
    <row r="525" spans="3:14" x14ac:dyDescent="0.25">
      <c r="C525">
        <v>407</v>
      </c>
      <c r="D525" t="s">
        <v>930</v>
      </c>
      <c r="E525">
        <v>100</v>
      </c>
      <c r="F525" t="s">
        <v>1047</v>
      </c>
      <c r="G525" s="83">
        <v>6.35</v>
      </c>
      <c r="H525" s="83">
        <v>63500</v>
      </c>
      <c r="I525" t="s">
        <v>1056</v>
      </c>
      <c r="J525" s="83">
        <v>10.9</v>
      </c>
      <c r="K525" s="83">
        <v>109067</v>
      </c>
      <c r="L525" t="s">
        <v>395</v>
      </c>
      <c r="M525">
        <v>-45634</v>
      </c>
      <c r="N525" s="84">
        <v>-8.0600000000000005E-2</v>
      </c>
    </row>
    <row r="526" spans="3:14" x14ac:dyDescent="0.25">
      <c r="C526">
        <v>408</v>
      </c>
      <c r="D526" t="s">
        <v>996</v>
      </c>
      <c r="E526">
        <v>69</v>
      </c>
      <c r="F526" t="s">
        <v>1042</v>
      </c>
      <c r="G526" s="83">
        <v>9.4</v>
      </c>
      <c r="H526" s="83">
        <v>64860</v>
      </c>
      <c r="I526" t="s">
        <v>1056</v>
      </c>
      <c r="J526" s="83">
        <v>15.15</v>
      </c>
      <c r="K526" s="83">
        <v>104581.23</v>
      </c>
      <c r="L526" t="s">
        <v>623</v>
      </c>
      <c r="M526">
        <v>-39767.46</v>
      </c>
      <c r="N526" s="84">
        <v>-5.7299999999999997E-2</v>
      </c>
    </row>
    <row r="527" spans="3:14" x14ac:dyDescent="0.25">
      <c r="C527">
        <v>409</v>
      </c>
      <c r="D527" t="s">
        <v>996</v>
      </c>
      <c r="E527">
        <v>57</v>
      </c>
      <c r="F527" t="s">
        <v>1055</v>
      </c>
      <c r="G527" s="83">
        <v>11.05</v>
      </c>
      <c r="H527" s="83">
        <v>62985</v>
      </c>
      <c r="I527" t="s">
        <v>1056</v>
      </c>
      <c r="J527" s="83">
        <v>16.55</v>
      </c>
      <c r="K527" s="83">
        <v>94373.19</v>
      </c>
      <c r="L527" t="s">
        <v>623</v>
      </c>
      <c r="M527">
        <v>-31426.38</v>
      </c>
      <c r="N527" s="84">
        <v>-5.57E-2</v>
      </c>
    </row>
    <row r="528" spans="3:14" x14ac:dyDescent="0.25">
      <c r="C528">
        <v>410</v>
      </c>
      <c r="D528" t="s">
        <v>996</v>
      </c>
      <c r="E528">
        <v>60</v>
      </c>
      <c r="F528" t="s">
        <v>1057</v>
      </c>
      <c r="G528" s="83">
        <v>10.7</v>
      </c>
      <c r="H528" s="83">
        <v>64200</v>
      </c>
      <c r="I528" t="s">
        <v>1056</v>
      </c>
      <c r="J528" s="83">
        <v>17.7</v>
      </c>
      <c r="K528" s="83">
        <v>106240.2</v>
      </c>
      <c r="L528" t="s">
        <v>623</v>
      </c>
      <c r="M528">
        <v>-42080.4</v>
      </c>
      <c r="N528" s="84">
        <v>-6.9199999999999998E-2</v>
      </c>
    </row>
    <row r="529" spans="3:14" x14ac:dyDescent="0.25">
      <c r="C529">
        <v>411</v>
      </c>
      <c r="D529" t="s">
        <v>996</v>
      </c>
      <c r="E529">
        <v>61</v>
      </c>
      <c r="F529" t="s">
        <v>1058</v>
      </c>
      <c r="G529" s="83">
        <v>10.65</v>
      </c>
      <c r="H529" s="83">
        <v>64965</v>
      </c>
      <c r="I529" t="s">
        <v>1056</v>
      </c>
      <c r="J529" s="83">
        <v>20.100000000000001</v>
      </c>
      <c r="K529" s="83">
        <v>122650.87</v>
      </c>
      <c r="L529" t="s">
        <v>623</v>
      </c>
      <c r="M529">
        <v>-57726.74</v>
      </c>
      <c r="N529" s="84">
        <v>-8.9800000000000005E-2</v>
      </c>
    </row>
    <row r="530" spans="3:14" x14ac:dyDescent="0.25">
      <c r="C530">
        <v>412</v>
      </c>
      <c r="D530" t="s">
        <v>996</v>
      </c>
      <c r="E530">
        <v>68</v>
      </c>
      <c r="F530" t="s">
        <v>1062</v>
      </c>
      <c r="G530" s="83">
        <v>9.9</v>
      </c>
      <c r="H530" s="83">
        <v>67320</v>
      </c>
      <c r="I530" t="s">
        <v>1056</v>
      </c>
      <c r="J530" s="83">
        <v>21.2</v>
      </c>
      <c r="K530" s="83">
        <v>144205.56</v>
      </c>
      <c r="L530" t="s">
        <v>623</v>
      </c>
      <c r="M530">
        <v>-76931.12</v>
      </c>
      <c r="N530" s="84">
        <v>-0.1076</v>
      </c>
    </row>
    <row r="531" spans="3:14" x14ac:dyDescent="0.25">
      <c r="C531">
        <v>413</v>
      </c>
      <c r="D531" t="s">
        <v>996</v>
      </c>
      <c r="E531">
        <v>70</v>
      </c>
      <c r="F531" t="s">
        <v>1299</v>
      </c>
      <c r="G531" s="83">
        <v>9.5</v>
      </c>
      <c r="H531" s="83">
        <v>66500</v>
      </c>
      <c r="I531" t="s">
        <v>1056</v>
      </c>
      <c r="J531" s="83">
        <v>18.3</v>
      </c>
      <c r="K531" s="83">
        <v>128146.9</v>
      </c>
      <c r="L531" t="s">
        <v>623</v>
      </c>
      <c r="M531">
        <v>-61693.8</v>
      </c>
      <c r="N531" s="84">
        <v>-8.77E-2</v>
      </c>
    </row>
    <row r="532" spans="3:14" x14ac:dyDescent="0.25">
      <c r="C532">
        <v>414</v>
      </c>
      <c r="D532" t="s">
        <v>524</v>
      </c>
      <c r="E532">
        <v>48</v>
      </c>
      <c r="F532" t="s">
        <v>1063</v>
      </c>
      <c r="G532" s="83">
        <v>12.9</v>
      </c>
      <c r="H532" s="83">
        <v>61920</v>
      </c>
      <c r="I532" t="s">
        <v>1064</v>
      </c>
      <c r="J532" s="83">
        <v>20.8</v>
      </c>
      <c r="K532" s="83">
        <v>99872.16</v>
      </c>
      <c r="L532" t="s">
        <v>623</v>
      </c>
      <c r="M532">
        <v>-37984.32</v>
      </c>
      <c r="N532" s="84">
        <v>-6.4299999999999996E-2</v>
      </c>
    </row>
    <row r="533" spans="3:14" x14ac:dyDescent="0.25">
      <c r="C533">
        <v>415</v>
      </c>
      <c r="D533" t="s">
        <v>993</v>
      </c>
      <c r="E533">
        <v>43</v>
      </c>
      <c r="F533" t="s">
        <v>1065</v>
      </c>
      <c r="G533" s="83">
        <v>12.8</v>
      </c>
      <c r="H533" s="83">
        <v>55040</v>
      </c>
      <c r="I533" t="s">
        <v>1066</v>
      </c>
      <c r="J533" s="83">
        <v>22.3</v>
      </c>
      <c r="K533" s="83">
        <v>95918.81</v>
      </c>
      <c r="L533" t="s">
        <v>623</v>
      </c>
      <c r="M533">
        <v>-40907.620000000003</v>
      </c>
      <c r="N533" s="84">
        <v>-9.7900000000000001E-2</v>
      </c>
    </row>
    <row r="534" spans="3:14" x14ac:dyDescent="0.25">
      <c r="C534">
        <v>416</v>
      </c>
      <c r="D534" t="s">
        <v>1072</v>
      </c>
      <c r="E534">
        <v>21</v>
      </c>
      <c r="F534" t="s">
        <v>1073</v>
      </c>
      <c r="G534" s="83">
        <v>25</v>
      </c>
      <c r="H534" s="83">
        <v>52500</v>
      </c>
      <c r="I534" t="s">
        <v>1104</v>
      </c>
      <c r="J534" s="83">
        <v>4.5999999999999996</v>
      </c>
      <c r="K534" s="83">
        <v>9674.07</v>
      </c>
      <c r="L534" t="s">
        <v>399</v>
      </c>
      <c r="M534">
        <v>42811.86</v>
      </c>
      <c r="N534" s="84">
        <v>8.6800000000000002E-2</v>
      </c>
    </row>
    <row r="535" spans="3:14" x14ac:dyDescent="0.25">
      <c r="C535">
        <v>417</v>
      </c>
      <c r="D535" t="s">
        <v>1067</v>
      </c>
      <c r="E535">
        <v>139</v>
      </c>
      <c r="F535" t="s">
        <v>1064</v>
      </c>
      <c r="G535" s="83">
        <v>3.8</v>
      </c>
      <c r="H535" s="83">
        <v>52820</v>
      </c>
      <c r="I535" t="s">
        <v>1127</v>
      </c>
      <c r="J535" s="83">
        <v>0.76</v>
      </c>
      <c r="K535" s="83">
        <v>10657.13</v>
      </c>
      <c r="L535" t="s">
        <v>399</v>
      </c>
      <c r="M535">
        <v>42069.74</v>
      </c>
      <c r="N535" s="84">
        <v>8.3599999999999994E-2</v>
      </c>
    </row>
    <row r="536" spans="3:14" x14ac:dyDescent="0.25">
      <c r="C536">
        <v>418</v>
      </c>
      <c r="D536" t="s">
        <v>1072</v>
      </c>
      <c r="E536">
        <v>21</v>
      </c>
      <c r="F536" t="s">
        <v>1078</v>
      </c>
      <c r="G536" s="83">
        <v>27.5</v>
      </c>
      <c r="H536" s="83">
        <v>57750</v>
      </c>
      <c r="I536" t="s">
        <v>1111</v>
      </c>
      <c r="J536" s="83">
        <v>5.4</v>
      </c>
      <c r="K536" s="83">
        <v>11354.07</v>
      </c>
      <c r="L536" t="s">
        <v>399</v>
      </c>
      <c r="M536">
        <v>46381.86</v>
      </c>
      <c r="N536" s="84">
        <v>9.5000000000000001E-2</v>
      </c>
    </row>
    <row r="537" spans="3:14" x14ac:dyDescent="0.25">
      <c r="C537">
        <v>419</v>
      </c>
      <c r="D537" t="s">
        <v>1079</v>
      </c>
      <c r="E537">
        <v>14</v>
      </c>
      <c r="F537" t="s">
        <v>1056</v>
      </c>
      <c r="G537" s="83">
        <v>36.4</v>
      </c>
      <c r="H537" s="83">
        <v>50960</v>
      </c>
      <c r="I537" t="s">
        <v>1111</v>
      </c>
      <c r="J537" s="83">
        <v>5.4</v>
      </c>
      <c r="K537" s="83">
        <v>7569.38</v>
      </c>
      <c r="L537" t="s">
        <v>399</v>
      </c>
      <c r="M537">
        <v>43381.24</v>
      </c>
      <c r="N537" s="84">
        <v>7.8700000000000006E-2</v>
      </c>
    </row>
    <row r="538" spans="3:14" x14ac:dyDescent="0.25">
      <c r="C538">
        <v>420</v>
      </c>
      <c r="D538" t="s">
        <v>1083</v>
      </c>
      <c r="E538">
        <v>80</v>
      </c>
      <c r="F538" t="s">
        <v>1084</v>
      </c>
      <c r="G538" s="83">
        <v>6.7</v>
      </c>
      <c r="H538" s="83">
        <v>53600</v>
      </c>
      <c r="I538" t="s">
        <v>1113</v>
      </c>
      <c r="J538" s="83">
        <v>1.3</v>
      </c>
      <c r="K538" s="83">
        <v>10453.6</v>
      </c>
      <c r="L538" t="s">
        <v>399</v>
      </c>
      <c r="M538">
        <v>43092.800000000003</v>
      </c>
      <c r="N538" s="84">
        <v>7.3499999999999996E-2</v>
      </c>
    </row>
    <row r="539" spans="3:14" x14ac:dyDescent="0.25">
      <c r="C539">
        <v>421</v>
      </c>
      <c r="D539" t="s">
        <v>1100</v>
      </c>
      <c r="E539">
        <v>5</v>
      </c>
      <c r="F539" t="s">
        <v>1101</v>
      </c>
      <c r="G539" s="83">
        <v>97.2</v>
      </c>
      <c r="H539" s="83">
        <v>48600</v>
      </c>
      <c r="I539" t="s">
        <v>1130</v>
      </c>
      <c r="J539" s="83">
        <v>82.3</v>
      </c>
      <c r="K539" s="83">
        <v>41153.35</v>
      </c>
      <c r="L539" t="s">
        <v>623</v>
      </c>
      <c r="M539">
        <v>7443.3</v>
      </c>
      <c r="N539" s="84">
        <v>1.6500000000000001E-2</v>
      </c>
    </row>
    <row r="540" spans="3:14" x14ac:dyDescent="0.25">
      <c r="C540">
        <v>422</v>
      </c>
      <c r="D540" t="s">
        <v>1100</v>
      </c>
      <c r="E540">
        <v>5</v>
      </c>
      <c r="F540" t="s">
        <v>1103</v>
      </c>
      <c r="G540" s="83">
        <v>98.2</v>
      </c>
      <c r="H540" s="83">
        <v>49100</v>
      </c>
      <c r="I540" t="s">
        <v>1130</v>
      </c>
      <c r="J540" s="83">
        <v>98.4</v>
      </c>
      <c r="K540" s="83">
        <v>49203.35</v>
      </c>
      <c r="L540" t="s">
        <v>623</v>
      </c>
      <c r="M540">
        <v>-106.7</v>
      </c>
      <c r="N540" s="84">
        <v>-2.0000000000000001E-4</v>
      </c>
    </row>
    <row r="541" spans="3:14" x14ac:dyDescent="0.25">
      <c r="C541">
        <v>423</v>
      </c>
      <c r="D541" t="s">
        <v>1072</v>
      </c>
      <c r="E541">
        <v>23</v>
      </c>
      <c r="F541" t="s">
        <v>1076</v>
      </c>
      <c r="G541" s="83">
        <v>24.4</v>
      </c>
      <c r="H541" s="83">
        <v>56120</v>
      </c>
      <c r="I541" t="s">
        <v>1114</v>
      </c>
      <c r="J541" s="83">
        <v>4.5999999999999996</v>
      </c>
      <c r="K541" s="83">
        <v>10595.41</v>
      </c>
      <c r="L541" t="s">
        <v>399</v>
      </c>
      <c r="M541">
        <v>45509.18</v>
      </c>
      <c r="N541" s="84">
        <v>8.77E-2</v>
      </c>
    </row>
    <row r="542" spans="3:14" x14ac:dyDescent="0.25">
      <c r="C542">
        <v>424</v>
      </c>
      <c r="D542" t="s">
        <v>1069</v>
      </c>
      <c r="E542">
        <v>104</v>
      </c>
      <c r="F542" t="s">
        <v>1074</v>
      </c>
      <c r="G542" s="83">
        <v>5.15</v>
      </c>
      <c r="H542" s="83">
        <v>53560</v>
      </c>
      <c r="I542" t="s">
        <v>1114</v>
      </c>
      <c r="J542" s="83">
        <v>1.01</v>
      </c>
      <c r="K542" s="83">
        <v>10573.68</v>
      </c>
      <c r="L542" t="s">
        <v>399</v>
      </c>
      <c r="M542">
        <v>42916.639999999999</v>
      </c>
      <c r="N542" s="84">
        <v>7.8799999999999995E-2</v>
      </c>
    </row>
    <row r="543" spans="3:14" x14ac:dyDescent="0.25">
      <c r="C543">
        <v>425</v>
      </c>
      <c r="D543" t="s">
        <v>1069</v>
      </c>
      <c r="E543">
        <v>72</v>
      </c>
      <c r="F543" t="s">
        <v>1075</v>
      </c>
      <c r="G543" s="83">
        <v>6.85</v>
      </c>
      <c r="H543" s="83">
        <v>49320</v>
      </c>
      <c r="I543" t="s">
        <v>1114</v>
      </c>
      <c r="J543" s="83">
        <v>1.25</v>
      </c>
      <c r="K543" s="83">
        <v>9048.24</v>
      </c>
      <c r="L543" t="s">
        <v>399</v>
      </c>
      <c r="M543">
        <v>40223.519999999997</v>
      </c>
      <c r="N543" s="84">
        <v>0.1004</v>
      </c>
    </row>
    <row r="544" spans="3:14" x14ac:dyDescent="0.25">
      <c r="C544">
        <v>426</v>
      </c>
      <c r="D544" t="s">
        <v>1069</v>
      </c>
      <c r="E544">
        <v>83</v>
      </c>
      <c r="F544" t="s">
        <v>1070</v>
      </c>
      <c r="G544" s="83">
        <v>6.35</v>
      </c>
      <c r="H544" s="83">
        <v>52705</v>
      </c>
      <c r="I544" t="s">
        <v>1128</v>
      </c>
      <c r="J544" s="83">
        <v>1.22</v>
      </c>
      <c r="K544" s="83">
        <v>10181.61</v>
      </c>
      <c r="L544" t="s">
        <v>399</v>
      </c>
      <c r="M544">
        <v>42467.78</v>
      </c>
      <c r="N544" s="84">
        <v>0.1052</v>
      </c>
    </row>
    <row r="545" spans="3:14" x14ac:dyDescent="0.25">
      <c r="C545">
        <v>427</v>
      </c>
      <c r="D545" t="s">
        <v>1067</v>
      </c>
      <c r="E545">
        <v>168</v>
      </c>
      <c r="F545" t="s">
        <v>1080</v>
      </c>
      <c r="G545" s="83">
        <v>3.65</v>
      </c>
      <c r="H545" s="83">
        <v>61320</v>
      </c>
      <c r="I545" t="s">
        <v>1118</v>
      </c>
      <c r="J545" s="83">
        <v>0.7</v>
      </c>
      <c r="K545" s="83">
        <v>11872.56</v>
      </c>
      <c r="L545" t="s">
        <v>399</v>
      </c>
      <c r="M545">
        <v>49334.879999999997</v>
      </c>
      <c r="N545" s="84">
        <v>7.6600000000000001E-2</v>
      </c>
    </row>
    <row r="546" spans="3:14" x14ac:dyDescent="0.25">
      <c r="C546">
        <v>428</v>
      </c>
      <c r="D546" t="s">
        <v>1072</v>
      </c>
      <c r="E546">
        <v>22</v>
      </c>
      <c r="F546" t="s">
        <v>1095</v>
      </c>
      <c r="G546" s="83">
        <v>24</v>
      </c>
      <c r="H546" s="83">
        <v>52800</v>
      </c>
      <c r="I546" t="s">
        <v>1300</v>
      </c>
      <c r="J546" s="83">
        <v>4.8</v>
      </c>
      <c r="K546" s="83">
        <v>10574.74</v>
      </c>
      <c r="L546" t="s">
        <v>399</v>
      </c>
      <c r="M546">
        <v>42210.52</v>
      </c>
      <c r="N546" s="84">
        <v>7.8E-2</v>
      </c>
    </row>
    <row r="547" spans="3:14" x14ac:dyDescent="0.25">
      <c r="C547">
        <v>429</v>
      </c>
      <c r="D547" t="s">
        <v>1069</v>
      </c>
      <c r="E547">
        <v>69</v>
      </c>
      <c r="F547" t="s">
        <v>1082</v>
      </c>
      <c r="G547" s="83">
        <v>7.6</v>
      </c>
      <c r="H547" s="83">
        <v>52440</v>
      </c>
      <c r="I547" t="s">
        <v>1141</v>
      </c>
      <c r="J547" s="83">
        <v>1.48</v>
      </c>
      <c r="K547" s="83">
        <v>10258.23</v>
      </c>
      <c r="L547" t="s">
        <v>399</v>
      </c>
      <c r="M547">
        <v>42135.54</v>
      </c>
      <c r="N547" s="84">
        <v>0.10639999999999999</v>
      </c>
    </row>
    <row r="548" spans="3:14" x14ac:dyDescent="0.25">
      <c r="C548">
        <v>430</v>
      </c>
      <c r="D548" t="s">
        <v>1069</v>
      </c>
      <c r="E548">
        <v>96</v>
      </c>
      <c r="F548" t="s">
        <v>1089</v>
      </c>
      <c r="G548" s="83">
        <v>5.55</v>
      </c>
      <c r="H548" s="83">
        <v>53280</v>
      </c>
      <c r="I548" t="s">
        <v>1139</v>
      </c>
      <c r="J548" s="83">
        <v>1.1100000000000001</v>
      </c>
      <c r="K548" s="83">
        <v>10720.32</v>
      </c>
      <c r="L548" t="s">
        <v>399</v>
      </c>
      <c r="M548">
        <v>42495.360000000001</v>
      </c>
      <c r="N548" s="84">
        <v>8.1299999999999997E-2</v>
      </c>
    </row>
    <row r="549" spans="3:14" x14ac:dyDescent="0.25">
      <c r="C549">
        <v>431</v>
      </c>
      <c r="D549" t="s">
        <v>1072</v>
      </c>
      <c r="E549">
        <v>18</v>
      </c>
      <c r="F549" t="s">
        <v>1097</v>
      </c>
      <c r="G549" s="83">
        <v>30.3</v>
      </c>
      <c r="H549" s="83">
        <v>54540</v>
      </c>
      <c r="I549" t="s">
        <v>1123</v>
      </c>
      <c r="J549" s="83">
        <v>5.6</v>
      </c>
      <c r="K549" s="83">
        <v>10092.06</v>
      </c>
      <c r="L549" t="s">
        <v>399</v>
      </c>
      <c r="M549">
        <v>44435.88</v>
      </c>
      <c r="N549" s="84">
        <v>9.8900000000000002E-2</v>
      </c>
    </row>
    <row r="550" spans="3:14" x14ac:dyDescent="0.25">
      <c r="C550">
        <v>432</v>
      </c>
      <c r="D550" t="s">
        <v>1072</v>
      </c>
      <c r="E550">
        <v>20</v>
      </c>
      <c r="F550" t="s">
        <v>1098</v>
      </c>
      <c r="G550" s="83">
        <v>27.3</v>
      </c>
      <c r="H550" s="83">
        <v>54600</v>
      </c>
      <c r="I550" t="s">
        <v>1123</v>
      </c>
      <c r="J550" s="83">
        <v>5.4</v>
      </c>
      <c r="K550" s="83">
        <v>10813.4</v>
      </c>
      <c r="L550" t="s">
        <v>399</v>
      </c>
      <c r="M550">
        <v>43773.2</v>
      </c>
      <c r="N550" s="84">
        <v>9.0200000000000002E-2</v>
      </c>
    </row>
    <row r="551" spans="3:14" x14ac:dyDescent="0.25">
      <c r="C551">
        <v>433</v>
      </c>
      <c r="D551" t="s">
        <v>1072</v>
      </c>
      <c r="E551">
        <v>22</v>
      </c>
      <c r="F551" t="s">
        <v>1099</v>
      </c>
      <c r="G551" s="83">
        <v>24.3</v>
      </c>
      <c r="H551" s="83">
        <v>53460</v>
      </c>
      <c r="I551" t="s">
        <v>1124</v>
      </c>
      <c r="J551" s="83">
        <v>4.5999999999999996</v>
      </c>
      <c r="K551" s="83">
        <v>10134.74</v>
      </c>
      <c r="L551" t="s">
        <v>399</v>
      </c>
      <c r="M551">
        <v>43310.52</v>
      </c>
      <c r="N551" s="84">
        <v>8.3500000000000005E-2</v>
      </c>
    </row>
    <row r="552" spans="3:14" x14ac:dyDescent="0.25">
      <c r="C552">
        <v>434</v>
      </c>
      <c r="D552" t="s">
        <v>1069</v>
      </c>
      <c r="E552">
        <v>62</v>
      </c>
      <c r="F552" t="s">
        <v>1086</v>
      </c>
      <c r="G552" s="83">
        <v>8.5500000000000007</v>
      </c>
      <c r="H552" s="83">
        <v>53010</v>
      </c>
      <c r="I552" t="s">
        <v>1124</v>
      </c>
      <c r="J552" s="83">
        <v>1.71</v>
      </c>
      <c r="K552" s="83">
        <v>10643.54</v>
      </c>
      <c r="L552" t="s">
        <v>399</v>
      </c>
      <c r="M552">
        <v>42324.92</v>
      </c>
      <c r="N552" s="84">
        <v>0.12089999999999999</v>
      </c>
    </row>
    <row r="553" spans="3:14" x14ac:dyDescent="0.25">
      <c r="C553">
        <v>435</v>
      </c>
      <c r="D553" t="s">
        <v>1067</v>
      </c>
      <c r="E553">
        <v>128</v>
      </c>
      <c r="F553" t="s">
        <v>1087</v>
      </c>
      <c r="G553" s="83">
        <v>4.25</v>
      </c>
      <c r="H553" s="83">
        <v>54400</v>
      </c>
      <c r="I553" t="s">
        <v>1133</v>
      </c>
      <c r="J553" s="83">
        <v>0.84</v>
      </c>
      <c r="K553" s="83">
        <v>10837.76</v>
      </c>
      <c r="L553" t="s">
        <v>399</v>
      </c>
      <c r="M553">
        <v>43476.480000000003</v>
      </c>
      <c r="N553" s="84">
        <v>9.5000000000000001E-2</v>
      </c>
    </row>
    <row r="554" spans="3:14" x14ac:dyDescent="0.25">
      <c r="C554">
        <v>436</v>
      </c>
      <c r="D554" t="s">
        <v>1069</v>
      </c>
      <c r="E554">
        <v>76</v>
      </c>
      <c r="F554" t="s">
        <v>1102</v>
      </c>
      <c r="G554" s="83">
        <v>7.05</v>
      </c>
      <c r="H554" s="83">
        <v>53580</v>
      </c>
      <c r="I554" t="s">
        <v>1133</v>
      </c>
      <c r="J554" s="83">
        <v>1.27</v>
      </c>
      <c r="K554" s="83">
        <v>9702.92</v>
      </c>
      <c r="L554" t="s">
        <v>399</v>
      </c>
      <c r="M554">
        <v>43826.16</v>
      </c>
      <c r="N554" s="84">
        <v>0.104</v>
      </c>
    </row>
    <row r="555" spans="3:14" x14ac:dyDescent="0.25">
      <c r="C555">
        <v>437</v>
      </c>
      <c r="D555" t="s">
        <v>1112</v>
      </c>
      <c r="E555">
        <v>42</v>
      </c>
      <c r="F555" t="s">
        <v>1077</v>
      </c>
      <c r="G555" s="83">
        <v>14.4</v>
      </c>
      <c r="H555" s="83">
        <v>60480</v>
      </c>
      <c r="I555" t="s">
        <v>1133</v>
      </c>
      <c r="J555" s="83">
        <v>2.72</v>
      </c>
      <c r="K555" s="83">
        <v>11452.14</v>
      </c>
      <c r="L555" t="s">
        <v>399</v>
      </c>
      <c r="M555">
        <v>48999.72</v>
      </c>
      <c r="N555" s="84">
        <v>7.6999999999999999E-2</v>
      </c>
    </row>
    <row r="556" spans="3:14" x14ac:dyDescent="0.25">
      <c r="C556">
        <v>438</v>
      </c>
      <c r="D556" t="s">
        <v>1067</v>
      </c>
      <c r="E556">
        <v>129</v>
      </c>
      <c r="F556" t="s">
        <v>1092</v>
      </c>
      <c r="G556" s="83">
        <v>4.3</v>
      </c>
      <c r="H556" s="83">
        <v>55470</v>
      </c>
      <c r="I556" t="s">
        <v>1136</v>
      </c>
      <c r="J556" s="83">
        <v>0.82</v>
      </c>
      <c r="K556" s="83">
        <v>10664.43</v>
      </c>
      <c r="L556" t="s">
        <v>399</v>
      </c>
      <c r="M556">
        <v>44719.14</v>
      </c>
      <c r="N556" s="84">
        <v>9.1999999999999998E-2</v>
      </c>
    </row>
    <row r="557" spans="3:14" x14ac:dyDescent="0.25">
      <c r="C557">
        <v>439</v>
      </c>
      <c r="D557" t="s">
        <v>1067</v>
      </c>
      <c r="E557">
        <v>133</v>
      </c>
      <c r="F557" t="s">
        <v>1094</v>
      </c>
      <c r="G557" s="83">
        <v>4.05</v>
      </c>
      <c r="H557" s="83">
        <v>53865</v>
      </c>
      <c r="I557" t="s">
        <v>1136</v>
      </c>
      <c r="J557" s="83">
        <v>0.77</v>
      </c>
      <c r="K557" s="83">
        <v>10330.11</v>
      </c>
      <c r="L557" t="s">
        <v>399</v>
      </c>
      <c r="M557">
        <v>43445.78</v>
      </c>
      <c r="N557" s="84">
        <v>8.8400000000000006E-2</v>
      </c>
    </row>
    <row r="558" spans="3:14" x14ac:dyDescent="0.25">
      <c r="C558">
        <v>440</v>
      </c>
      <c r="D558" t="s">
        <v>1067</v>
      </c>
      <c r="E558">
        <v>145</v>
      </c>
      <c r="F558" t="s">
        <v>1091</v>
      </c>
      <c r="G558" s="83">
        <v>3.6</v>
      </c>
      <c r="H558" s="83">
        <v>52200</v>
      </c>
      <c r="I558" t="s">
        <v>1136</v>
      </c>
      <c r="J558" s="83">
        <v>0.7</v>
      </c>
      <c r="K558" s="83">
        <v>10247.15</v>
      </c>
      <c r="L558" t="s">
        <v>399</v>
      </c>
      <c r="M558">
        <v>41855.699999999997</v>
      </c>
      <c r="N558" s="84">
        <v>8.1500000000000003E-2</v>
      </c>
    </row>
    <row r="559" spans="3:14" x14ac:dyDescent="0.25">
      <c r="C559">
        <v>441</v>
      </c>
      <c r="D559" t="s">
        <v>1112</v>
      </c>
      <c r="E559">
        <v>43</v>
      </c>
      <c r="F559" t="s">
        <v>1081</v>
      </c>
      <c r="G559" s="83">
        <v>14.45</v>
      </c>
      <c r="H559" s="83">
        <v>62135</v>
      </c>
      <c r="I559" t="s">
        <v>1136</v>
      </c>
      <c r="J559" s="83">
        <v>2.84</v>
      </c>
      <c r="K559" s="83">
        <v>12240.81</v>
      </c>
      <c r="L559" t="s">
        <v>399</v>
      </c>
      <c r="M559">
        <v>49865.38</v>
      </c>
      <c r="N559" s="84">
        <v>7.46E-2</v>
      </c>
    </row>
    <row r="560" spans="3:14" x14ac:dyDescent="0.25">
      <c r="C560">
        <v>442</v>
      </c>
      <c r="D560" t="s">
        <v>1121</v>
      </c>
      <c r="E560">
        <v>29</v>
      </c>
      <c r="F560" t="s">
        <v>1122</v>
      </c>
      <c r="G560" s="83">
        <v>23.75</v>
      </c>
      <c r="H560" s="83">
        <v>68875</v>
      </c>
      <c r="I560" t="s">
        <v>1136</v>
      </c>
      <c r="J560" s="83">
        <v>4.1500000000000004</v>
      </c>
      <c r="K560" s="83">
        <v>12054.43</v>
      </c>
      <c r="L560" t="s">
        <v>399</v>
      </c>
      <c r="M560">
        <v>56801.14</v>
      </c>
      <c r="N560" s="84">
        <v>9.98E-2</v>
      </c>
    </row>
    <row r="561" spans="3:14" x14ac:dyDescent="0.25">
      <c r="C561">
        <v>443</v>
      </c>
      <c r="D561" t="s">
        <v>1112</v>
      </c>
      <c r="E561">
        <v>42</v>
      </c>
      <c r="F561" t="s">
        <v>1088</v>
      </c>
      <c r="G561" s="83">
        <v>14.8</v>
      </c>
      <c r="H561" s="83">
        <v>62160</v>
      </c>
      <c r="I561" t="s">
        <v>1138</v>
      </c>
      <c r="J561" s="83">
        <v>2.76</v>
      </c>
      <c r="K561" s="83">
        <v>11620.14</v>
      </c>
      <c r="L561" t="s">
        <v>399</v>
      </c>
      <c r="M561">
        <v>50511.72</v>
      </c>
      <c r="N561" s="84">
        <v>7.6499999999999999E-2</v>
      </c>
    </row>
    <row r="562" spans="3:14" x14ac:dyDescent="0.25">
      <c r="C562">
        <v>444</v>
      </c>
      <c r="D562" t="s">
        <v>1112</v>
      </c>
      <c r="E562">
        <v>43</v>
      </c>
      <c r="F562" t="s">
        <v>1093</v>
      </c>
      <c r="G562" s="83">
        <v>14.95</v>
      </c>
      <c r="H562" s="83">
        <v>64285</v>
      </c>
      <c r="I562" t="s">
        <v>1138</v>
      </c>
      <c r="J562" s="83">
        <v>2.91</v>
      </c>
      <c r="K562" s="83">
        <v>12541.81</v>
      </c>
      <c r="L562" t="s">
        <v>399</v>
      </c>
      <c r="M562">
        <v>51714.38</v>
      </c>
      <c r="N562" s="84">
        <v>7.5600000000000001E-2</v>
      </c>
    </row>
    <row r="563" spans="3:14" x14ac:dyDescent="0.25">
      <c r="C563">
        <v>445</v>
      </c>
      <c r="D563" t="s">
        <v>1121</v>
      </c>
      <c r="E563">
        <v>32</v>
      </c>
      <c r="F563" t="s">
        <v>1113</v>
      </c>
      <c r="G563" s="83">
        <v>22.15</v>
      </c>
      <c r="H563" s="83">
        <v>70880</v>
      </c>
      <c r="I563" t="s">
        <v>1140</v>
      </c>
      <c r="J563" s="83">
        <v>4.25</v>
      </c>
      <c r="K563" s="83">
        <v>13621.44</v>
      </c>
      <c r="L563" t="s">
        <v>399</v>
      </c>
      <c r="M563">
        <v>57237.120000000003</v>
      </c>
      <c r="N563" s="84">
        <v>0.10059999999999999</v>
      </c>
    </row>
    <row r="564" spans="3:14" x14ac:dyDescent="0.25">
      <c r="C564">
        <v>446</v>
      </c>
      <c r="D564" t="s">
        <v>1121</v>
      </c>
      <c r="E564">
        <v>24</v>
      </c>
      <c r="F564" t="s">
        <v>1125</v>
      </c>
      <c r="G564" s="83">
        <v>28.65</v>
      </c>
      <c r="H564" s="83">
        <v>68760</v>
      </c>
      <c r="I564" t="s">
        <v>1301</v>
      </c>
      <c r="J564" s="83">
        <v>5.6</v>
      </c>
      <c r="K564" s="83">
        <v>13456.08</v>
      </c>
      <c r="L564" t="s">
        <v>399</v>
      </c>
      <c r="M564">
        <v>55287.839999999997</v>
      </c>
      <c r="N564" s="84">
        <v>0.12039999999999999</v>
      </c>
    </row>
    <row r="565" spans="3:14" x14ac:dyDescent="0.25">
      <c r="C565">
        <v>447</v>
      </c>
      <c r="D565" t="s">
        <v>1121</v>
      </c>
      <c r="E565">
        <v>28</v>
      </c>
      <c r="F565" t="s">
        <v>1126</v>
      </c>
      <c r="G565" s="83">
        <v>24.5</v>
      </c>
      <c r="H565" s="83">
        <v>68600</v>
      </c>
      <c r="I565" t="s">
        <v>1301</v>
      </c>
      <c r="J565" s="83">
        <v>4.55</v>
      </c>
      <c r="K565" s="83">
        <v>12758.76</v>
      </c>
      <c r="L565" t="s">
        <v>399</v>
      </c>
      <c r="M565">
        <v>55822.48</v>
      </c>
      <c r="N565" s="84">
        <v>0.1075</v>
      </c>
    </row>
    <row r="566" spans="3:14" x14ac:dyDescent="0.25">
      <c r="C566">
        <v>448</v>
      </c>
      <c r="D566" t="s">
        <v>1121</v>
      </c>
      <c r="E566">
        <v>29</v>
      </c>
      <c r="F566" t="s">
        <v>1127</v>
      </c>
      <c r="G566" s="83">
        <v>24.1</v>
      </c>
      <c r="H566" s="83">
        <v>69890</v>
      </c>
      <c r="I566" t="s">
        <v>1301</v>
      </c>
      <c r="J566" s="83">
        <v>4.25</v>
      </c>
      <c r="K566" s="83">
        <v>12344.43</v>
      </c>
      <c r="L566" t="s">
        <v>399</v>
      </c>
      <c r="M566">
        <v>57526.14</v>
      </c>
      <c r="N566" s="84">
        <v>0.1013</v>
      </c>
    </row>
    <row r="567" spans="3:14" x14ac:dyDescent="0.25">
      <c r="C567">
        <v>449</v>
      </c>
      <c r="D567" t="s">
        <v>1121</v>
      </c>
      <c r="E567">
        <v>36</v>
      </c>
      <c r="F567" t="s">
        <v>1128</v>
      </c>
      <c r="G567" s="83">
        <v>19.95</v>
      </c>
      <c r="H567" s="83">
        <v>71820</v>
      </c>
      <c r="I567" t="s">
        <v>1301</v>
      </c>
      <c r="J567" s="83">
        <v>3.6</v>
      </c>
      <c r="K567" s="83">
        <v>12984.12</v>
      </c>
      <c r="L567" t="s">
        <v>399</v>
      </c>
      <c r="M567">
        <v>58811.76</v>
      </c>
      <c r="N567" s="84">
        <v>8.5999999999999993E-2</v>
      </c>
    </row>
    <row r="568" spans="3:14" x14ac:dyDescent="0.25">
      <c r="C568">
        <v>450</v>
      </c>
      <c r="D568" t="s">
        <v>993</v>
      </c>
      <c r="E568">
        <v>56</v>
      </c>
      <c r="F568" t="s">
        <v>1090</v>
      </c>
      <c r="G568" s="83">
        <v>11.65</v>
      </c>
      <c r="H568" s="83">
        <v>65240</v>
      </c>
      <c r="I568" t="s">
        <v>1302</v>
      </c>
      <c r="J568" s="83">
        <v>2.2599999999999998</v>
      </c>
      <c r="K568" s="83">
        <v>12693.52</v>
      </c>
      <c r="L568" t="s">
        <v>399</v>
      </c>
      <c r="M568">
        <v>52508.959999999999</v>
      </c>
      <c r="N568" s="84">
        <v>9.0700000000000003E-2</v>
      </c>
    </row>
    <row r="569" spans="3:14" x14ac:dyDescent="0.25">
      <c r="C569">
        <v>451</v>
      </c>
      <c r="D569" t="s">
        <v>993</v>
      </c>
      <c r="E569">
        <v>46</v>
      </c>
      <c r="F569" t="s">
        <v>1085</v>
      </c>
      <c r="G569" s="83">
        <v>13.6</v>
      </c>
      <c r="H569" s="83">
        <v>62560</v>
      </c>
      <c r="I569" t="s">
        <v>1144</v>
      </c>
      <c r="J569" s="83">
        <v>2.64</v>
      </c>
      <c r="K569" s="83">
        <v>12174.82</v>
      </c>
      <c r="L569" t="s">
        <v>399</v>
      </c>
      <c r="M569">
        <v>50354.36</v>
      </c>
      <c r="N569" s="84">
        <v>0.108</v>
      </c>
    </row>
    <row r="570" spans="3:14" x14ac:dyDescent="0.25">
      <c r="C570">
        <v>452</v>
      </c>
      <c r="D570" t="s">
        <v>993</v>
      </c>
      <c r="E570">
        <v>43</v>
      </c>
      <c r="F570" t="s">
        <v>1119</v>
      </c>
      <c r="G570" s="83">
        <v>14.15</v>
      </c>
      <c r="H570" s="83">
        <v>60845</v>
      </c>
      <c r="I570" t="s">
        <v>1303</v>
      </c>
      <c r="J570" s="83">
        <v>2.6</v>
      </c>
      <c r="K570" s="83">
        <v>11208.81</v>
      </c>
      <c r="L570" t="s">
        <v>399</v>
      </c>
      <c r="M570">
        <v>49607.38</v>
      </c>
      <c r="N570" s="84">
        <v>0.109</v>
      </c>
    </row>
    <row r="571" spans="3:14" x14ac:dyDescent="0.25">
      <c r="C571">
        <v>453</v>
      </c>
      <c r="D571" t="s">
        <v>1115</v>
      </c>
      <c r="E571">
        <v>40</v>
      </c>
      <c r="F571" t="s">
        <v>1116</v>
      </c>
      <c r="G571" s="83">
        <v>14.75</v>
      </c>
      <c r="H571" s="83">
        <v>59000</v>
      </c>
      <c r="I571" t="s">
        <v>1304</v>
      </c>
      <c r="J571" s="83">
        <v>2.77</v>
      </c>
      <c r="K571" s="83">
        <v>11106.8</v>
      </c>
      <c r="L571" t="s">
        <v>399</v>
      </c>
      <c r="M571">
        <v>47866.400000000001</v>
      </c>
      <c r="N571" s="84">
        <v>8.2400000000000001E-2</v>
      </c>
    </row>
    <row r="572" spans="3:14" x14ac:dyDescent="0.25">
      <c r="C572">
        <v>454</v>
      </c>
      <c r="D572" t="s">
        <v>1079</v>
      </c>
      <c r="E572">
        <v>12</v>
      </c>
      <c r="F572" t="s">
        <v>1068</v>
      </c>
      <c r="G572" s="83">
        <v>45.3</v>
      </c>
      <c r="H572" s="83">
        <v>54360</v>
      </c>
      <c r="I572" t="s">
        <v>1305</v>
      </c>
      <c r="J572" s="83">
        <v>6.6</v>
      </c>
      <c r="K572" s="83">
        <v>7928.04</v>
      </c>
      <c r="L572" t="s">
        <v>399</v>
      </c>
      <c r="M572">
        <v>46423.92</v>
      </c>
      <c r="N572" s="84">
        <v>8.8999999999999996E-2</v>
      </c>
    </row>
    <row r="573" spans="3:14" x14ac:dyDescent="0.25">
      <c r="C573">
        <v>455</v>
      </c>
      <c r="D573" t="s">
        <v>1079</v>
      </c>
      <c r="E573">
        <v>13</v>
      </c>
      <c r="F573" t="s">
        <v>1105</v>
      </c>
      <c r="G573" s="83">
        <v>44.9</v>
      </c>
      <c r="H573" s="83">
        <v>58370</v>
      </c>
      <c r="I573" t="s">
        <v>1305</v>
      </c>
      <c r="J573" s="83">
        <v>8.5</v>
      </c>
      <c r="K573" s="83">
        <v>11058.71</v>
      </c>
      <c r="L573" t="s">
        <v>399</v>
      </c>
      <c r="M573">
        <v>47302.58</v>
      </c>
      <c r="N573" s="84">
        <v>8.1699999999999995E-2</v>
      </c>
    </row>
    <row r="574" spans="3:14" x14ac:dyDescent="0.25">
      <c r="C574">
        <v>456</v>
      </c>
      <c r="D574" t="s">
        <v>1079</v>
      </c>
      <c r="E574">
        <v>13</v>
      </c>
      <c r="F574" t="s">
        <v>1106</v>
      </c>
      <c r="G574" s="83">
        <v>46.3</v>
      </c>
      <c r="H574" s="83">
        <v>60190</v>
      </c>
      <c r="I574" t="s">
        <v>1305</v>
      </c>
      <c r="J574" s="83">
        <v>7.5</v>
      </c>
      <c r="K574" s="83">
        <v>9758.7099999999991</v>
      </c>
      <c r="L574" t="s">
        <v>399</v>
      </c>
      <c r="M574">
        <v>50422.58</v>
      </c>
      <c r="N574" s="84">
        <v>8.5500000000000007E-2</v>
      </c>
    </row>
    <row r="575" spans="3:14" x14ac:dyDescent="0.25">
      <c r="C575">
        <v>457</v>
      </c>
      <c r="D575" t="s">
        <v>1079</v>
      </c>
      <c r="E575">
        <v>13</v>
      </c>
      <c r="F575" t="s">
        <v>1108</v>
      </c>
      <c r="G575" s="83">
        <v>45.2</v>
      </c>
      <c r="H575" s="83">
        <v>58760</v>
      </c>
      <c r="I575" t="s">
        <v>1305</v>
      </c>
      <c r="J575" s="83">
        <v>4.8</v>
      </c>
      <c r="K575" s="83">
        <v>6248.71</v>
      </c>
      <c r="L575" t="s">
        <v>399</v>
      </c>
      <c r="M575">
        <v>52502.58</v>
      </c>
      <c r="N575" s="84">
        <v>8.6900000000000005E-2</v>
      </c>
    </row>
    <row r="576" spans="3:14" x14ac:dyDescent="0.25">
      <c r="C576">
        <v>458</v>
      </c>
      <c r="D576" t="s">
        <v>1079</v>
      </c>
      <c r="E576">
        <v>13</v>
      </c>
      <c r="F576" t="s">
        <v>1071</v>
      </c>
      <c r="G576" s="83">
        <v>44</v>
      </c>
      <c r="H576" s="83">
        <v>57200</v>
      </c>
      <c r="I576" t="s">
        <v>1306</v>
      </c>
      <c r="J576" s="83">
        <v>6.9</v>
      </c>
      <c r="K576" s="83">
        <v>8978.7099999999991</v>
      </c>
      <c r="L576" t="s">
        <v>399</v>
      </c>
      <c r="M576">
        <v>48212.58</v>
      </c>
      <c r="N576" s="84">
        <v>8.1299999999999997E-2</v>
      </c>
    </row>
    <row r="577" spans="3:14" x14ac:dyDescent="0.25">
      <c r="C577">
        <v>459</v>
      </c>
      <c r="D577" t="s">
        <v>993</v>
      </c>
      <c r="E577">
        <v>50</v>
      </c>
      <c r="F577" t="s">
        <v>1107</v>
      </c>
      <c r="G577" s="83">
        <v>13.75</v>
      </c>
      <c r="H577" s="83">
        <v>68750</v>
      </c>
      <c r="I577" t="s">
        <v>1307</v>
      </c>
      <c r="J577" s="83">
        <v>2.5299999999999998</v>
      </c>
      <c r="K577" s="83">
        <v>12683.5</v>
      </c>
      <c r="L577" t="s">
        <v>399</v>
      </c>
      <c r="M577">
        <v>56033</v>
      </c>
      <c r="N577" s="84">
        <v>0.1007</v>
      </c>
    </row>
    <row r="578" spans="3:14" x14ac:dyDescent="0.25">
      <c r="C578">
        <v>460</v>
      </c>
      <c r="D578" t="s">
        <v>1069</v>
      </c>
      <c r="E578">
        <v>88</v>
      </c>
      <c r="F578" t="s">
        <v>1132</v>
      </c>
      <c r="G578" s="83">
        <v>7.7</v>
      </c>
      <c r="H578" s="83">
        <v>67760</v>
      </c>
      <c r="I578" t="s">
        <v>1145</v>
      </c>
      <c r="J578" s="83">
        <v>1.52</v>
      </c>
      <c r="K578" s="83">
        <v>13434.96</v>
      </c>
      <c r="L578" t="s">
        <v>399</v>
      </c>
      <c r="M578">
        <v>54266.080000000002</v>
      </c>
      <c r="N578" s="84">
        <v>8.5300000000000001E-2</v>
      </c>
    </row>
    <row r="579" spans="3:14" x14ac:dyDescent="0.25">
      <c r="C579">
        <v>461</v>
      </c>
      <c r="D579" t="s">
        <v>1067</v>
      </c>
      <c r="E579">
        <v>116</v>
      </c>
      <c r="F579" t="s">
        <v>1110</v>
      </c>
      <c r="G579" s="83">
        <v>4.75</v>
      </c>
      <c r="H579" s="83">
        <v>55100</v>
      </c>
      <c r="I579" t="s">
        <v>1147</v>
      </c>
      <c r="J579" s="83">
        <v>0.93</v>
      </c>
      <c r="K579" s="83">
        <v>10865.72</v>
      </c>
      <c r="L579" t="s">
        <v>399</v>
      </c>
      <c r="M579">
        <v>44156.56</v>
      </c>
      <c r="N579" s="84">
        <v>9.9500000000000005E-2</v>
      </c>
    </row>
    <row r="580" spans="3:14" x14ac:dyDescent="0.25">
      <c r="C580">
        <v>462</v>
      </c>
      <c r="D580" t="s">
        <v>993</v>
      </c>
      <c r="E580">
        <v>54</v>
      </c>
      <c r="F580" t="s">
        <v>1130</v>
      </c>
      <c r="G580" s="83">
        <v>13</v>
      </c>
      <c r="H580" s="83">
        <v>70200</v>
      </c>
      <c r="I580" t="s">
        <v>1153</v>
      </c>
      <c r="J580" s="83">
        <v>2.52</v>
      </c>
      <c r="K580" s="83">
        <v>13644.18</v>
      </c>
      <c r="L580" t="s">
        <v>399</v>
      </c>
      <c r="M580">
        <v>56519.64</v>
      </c>
      <c r="N580" s="84">
        <v>8.9499999999999996E-2</v>
      </c>
    </row>
    <row r="581" spans="3:14" x14ac:dyDescent="0.25">
      <c r="C581">
        <v>463</v>
      </c>
      <c r="D581" t="s">
        <v>943</v>
      </c>
      <c r="E581">
        <v>23</v>
      </c>
      <c r="F581" t="s">
        <v>1096</v>
      </c>
      <c r="G581" s="83">
        <v>29.4</v>
      </c>
      <c r="H581" s="83">
        <v>67620</v>
      </c>
      <c r="I581" t="s">
        <v>1308</v>
      </c>
      <c r="J581" s="83">
        <v>5.55</v>
      </c>
      <c r="K581" s="83">
        <v>12780.41</v>
      </c>
      <c r="L581" t="s">
        <v>399</v>
      </c>
      <c r="M581">
        <v>54824.18</v>
      </c>
      <c r="N581" s="84">
        <v>0.10340000000000001</v>
      </c>
    </row>
    <row r="582" spans="3:14" x14ac:dyDescent="0.25">
      <c r="C582">
        <v>464</v>
      </c>
      <c r="D582" t="s">
        <v>943</v>
      </c>
      <c r="E582">
        <v>22</v>
      </c>
      <c r="F582" t="s">
        <v>1146</v>
      </c>
      <c r="G582" s="83">
        <v>31.25</v>
      </c>
      <c r="H582" s="83">
        <v>68750</v>
      </c>
      <c r="I582" t="s">
        <v>1308</v>
      </c>
      <c r="J582" s="83">
        <v>5.95</v>
      </c>
      <c r="K582" s="83">
        <v>13104.74</v>
      </c>
      <c r="L582" t="s">
        <v>399</v>
      </c>
      <c r="M582">
        <v>55630.52</v>
      </c>
      <c r="N582" s="84">
        <v>0.1017</v>
      </c>
    </row>
    <row r="583" spans="3:14" x14ac:dyDescent="0.25">
      <c r="C583">
        <v>465</v>
      </c>
      <c r="D583" t="s">
        <v>943</v>
      </c>
      <c r="E583">
        <v>22</v>
      </c>
      <c r="F583" t="s">
        <v>1149</v>
      </c>
      <c r="G583" s="83">
        <v>30.85</v>
      </c>
      <c r="H583" s="83">
        <v>67870</v>
      </c>
      <c r="I583" t="s">
        <v>1157</v>
      </c>
      <c r="J583" s="83">
        <v>5.55</v>
      </c>
      <c r="K583" s="83">
        <v>12224.74</v>
      </c>
      <c r="L583" t="s">
        <v>399</v>
      </c>
      <c r="M583">
        <v>55630.52</v>
      </c>
      <c r="N583" s="84">
        <v>9.9500000000000005E-2</v>
      </c>
    </row>
    <row r="584" spans="3:14" x14ac:dyDescent="0.25">
      <c r="C584">
        <v>466</v>
      </c>
      <c r="D584" t="s">
        <v>943</v>
      </c>
      <c r="E584">
        <v>21</v>
      </c>
      <c r="F584" t="s">
        <v>1104</v>
      </c>
      <c r="G584" s="83">
        <v>33.15</v>
      </c>
      <c r="H584" s="83">
        <v>69615</v>
      </c>
      <c r="I584" t="s">
        <v>1174</v>
      </c>
      <c r="J584" s="83">
        <v>6.4</v>
      </c>
      <c r="K584" s="83">
        <v>13454.07</v>
      </c>
      <c r="L584" t="s">
        <v>399</v>
      </c>
      <c r="M584">
        <v>56146.86</v>
      </c>
      <c r="N584" s="84">
        <v>0.10829999999999999</v>
      </c>
    </row>
    <row r="585" spans="3:14" x14ac:dyDescent="0.25">
      <c r="C585">
        <v>467</v>
      </c>
      <c r="D585" t="s">
        <v>943</v>
      </c>
      <c r="E585">
        <v>22</v>
      </c>
      <c r="F585" t="s">
        <v>1150</v>
      </c>
      <c r="G585" s="83">
        <v>32.450000000000003</v>
      </c>
      <c r="H585" s="83">
        <v>71390</v>
      </c>
      <c r="I585" t="s">
        <v>1174</v>
      </c>
      <c r="J585" s="83">
        <v>6.1</v>
      </c>
      <c r="K585" s="83">
        <v>13434.74</v>
      </c>
      <c r="L585" t="s">
        <v>399</v>
      </c>
      <c r="M585">
        <v>57940.52</v>
      </c>
      <c r="N585" s="84">
        <v>0.1003</v>
      </c>
    </row>
    <row r="586" spans="3:14" x14ac:dyDescent="0.25">
      <c r="C586">
        <v>468</v>
      </c>
      <c r="D586" t="s">
        <v>1121</v>
      </c>
      <c r="E586">
        <v>43</v>
      </c>
      <c r="F586" t="s">
        <v>1117</v>
      </c>
      <c r="G586" s="83">
        <v>17.05</v>
      </c>
      <c r="H586" s="83">
        <v>73315</v>
      </c>
      <c r="I586" t="s">
        <v>1309</v>
      </c>
      <c r="J586" s="83">
        <v>2.99</v>
      </c>
      <c r="K586" s="83">
        <v>12885.81</v>
      </c>
      <c r="L586" t="s">
        <v>399</v>
      </c>
      <c r="M586">
        <v>60400.38</v>
      </c>
      <c r="N586" s="84">
        <v>7.8899999999999998E-2</v>
      </c>
    </row>
    <row r="587" spans="3:14" x14ac:dyDescent="0.25">
      <c r="C587">
        <v>469</v>
      </c>
      <c r="D587" t="s">
        <v>943</v>
      </c>
      <c r="E587">
        <v>20</v>
      </c>
      <c r="F587" t="s">
        <v>1109</v>
      </c>
      <c r="G587" s="83">
        <v>34.5</v>
      </c>
      <c r="H587" s="83">
        <v>69000</v>
      </c>
      <c r="I587" t="s">
        <v>1176</v>
      </c>
      <c r="J587" s="83">
        <v>6.8</v>
      </c>
      <c r="K587" s="83">
        <v>13613.4</v>
      </c>
      <c r="L587" t="s">
        <v>399</v>
      </c>
      <c r="M587">
        <v>55373.2</v>
      </c>
      <c r="N587" s="84">
        <v>0.1084</v>
      </c>
    </row>
    <row r="588" spans="3:14" x14ac:dyDescent="0.25">
      <c r="C588">
        <v>470</v>
      </c>
      <c r="D588" t="s">
        <v>943</v>
      </c>
      <c r="E588">
        <v>19</v>
      </c>
      <c r="F588" t="s">
        <v>1111</v>
      </c>
      <c r="G588" s="83">
        <v>36.5</v>
      </c>
      <c r="H588" s="83">
        <v>69350</v>
      </c>
      <c r="I588" t="s">
        <v>1177</v>
      </c>
      <c r="J588" s="83">
        <v>7.25</v>
      </c>
      <c r="K588" s="83">
        <v>13787.73</v>
      </c>
      <c r="L588" t="s">
        <v>399</v>
      </c>
      <c r="M588">
        <v>55549.54</v>
      </c>
      <c r="N588" s="84">
        <v>0.111</v>
      </c>
    </row>
    <row r="589" spans="3:14" x14ac:dyDescent="0.25">
      <c r="C589">
        <v>471</v>
      </c>
      <c r="D589" t="s">
        <v>1134</v>
      </c>
      <c r="E589">
        <v>170</v>
      </c>
      <c r="F589" t="s">
        <v>1135</v>
      </c>
      <c r="G589" s="83">
        <v>4.25</v>
      </c>
      <c r="H589" s="83">
        <v>72250</v>
      </c>
      <c r="I589" t="s">
        <v>1181</v>
      </c>
      <c r="J589" s="83">
        <v>0.82</v>
      </c>
      <c r="K589" s="83">
        <v>14053.9</v>
      </c>
      <c r="L589" t="s">
        <v>399</v>
      </c>
      <c r="M589">
        <v>58082.2</v>
      </c>
      <c r="N589" s="84">
        <v>0.1231</v>
      </c>
    </row>
    <row r="590" spans="3:14" x14ac:dyDescent="0.25">
      <c r="C590">
        <v>472</v>
      </c>
      <c r="D590" t="s">
        <v>1134</v>
      </c>
      <c r="E590">
        <v>171</v>
      </c>
      <c r="F590" t="s">
        <v>1137</v>
      </c>
      <c r="G590" s="83">
        <v>4.25</v>
      </c>
      <c r="H590" s="83">
        <v>72560.429999999993</v>
      </c>
      <c r="I590" t="s">
        <v>1165</v>
      </c>
      <c r="J590" s="83">
        <v>1.03</v>
      </c>
      <c r="K590" s="83">
        <v>17727.57</v>
      </c>
      <c r="L590" t="s">
        <v>1166</v>
      </c>
      <c r="M590">
        <v>54832.86</v>
      </c>
      <c r="N590" s="84">
        <v>9.7299999999999998E-2</v>
      </c>
    </row>
    <row r="591" spans="3:14" x14ac:dyDescent="0.25">
      <c r="C591">
        <v>473</v>
      </c>
      <c r="D591" t="s">
        <v>1134</v>
      </c>
      <c r="E591">
        <v>156</v>
      </c>
      <c r="F591" t="s">
        <v>1141</v>
      </c>
      <c r="G591" s="83">
        <v>4.9000000000000004</v>
      </c>
      <c r="H591" s="83">
        <v>76335.48</v>
      </c>
      <c r="I591" t="s">
        <v>1165</v>
      </c>
      <c r="J591" s="83">
        <v>1.97</v>
      </c>
      <c r="K591" s="83">
        <v>30836.52</v>
      </c>
      <c r="L591" t="s">
        <v>1166</v>
      </c>
      <c r="M591">
        <v>45498.96</v>
      </c>
      <c r="N591" s="84">
        <v>8.8499999999999995E-2</v>
      </c>
    </row>
    <row r="592" spans="3:14" x14ac:dyDescent="0.25">
      <c r="C592">
        <v>474</v>
      </c>
      <c r="D592" t="s">
        <v>1134</v>
      </c>
      <c r="E592">
        <v>178</v>
      </c>
      <c r="F592" t="s">
        <v>1139</v>
      </c>
      <c r="G592" s="83">
        <v>4.3</v>
      </c>
      <c r="H592" s="83">
        <v>76420.740000000005</v>
      </c>
      <c r="I592" t="s">
        <v>1165</v>
      </c>
      <c r="J592" s="83">
        <v>1.2</v>
      </c>
      <c r="K592" s="83">
        <v>21479.26</v>
      </c>
      <c r="L592" t="s">
        <v>1166</v>
      </c>
      <c r="M592">
        <v>54941.48</v>
      </c>
      <c r="N592" s="84">
        <v>9.0899999999999995E-2</v>
      </c>
    </row>
    <row r="593" spans="3:14" x14ac:dyDescent="0.25">
      <c r="C593">
        <v>475</v>
      </c>
      <c r="D593" t="s">
        <v>1134</v>
      </c>
      <c r="E593">
        <v>180</v>
      </c>
      <c r="F593" t="s">
        <v>1123</v>
      </c>
      <c r="G593" s="83">
        <v>4.3499999999999996</v>
      </c>
      <c r="H593" s="83">
        <v>78179.399999999994</v>
      </c>
      <c r="I593" t="s">
        <v>1165</v>
      </c>
      <c r="J593" s="83">
        <v>1.46</v>
      </c>
      <c r="K593" s="83">
        <v>26400.6</v>
      </c>
      <c r="L593" t="s">
        <v>1166</v>
      </c>
      <c r="M593">
        <v>51778.8</v>
      </c>
      <c r="N593" s="84">
        <v>9.6000000000000002E-2</v>
      </c>
    </row>
    <row r="594" spans="3:14" x14ac:dyDescent="0.25">
      <c r="C594">
        <v>476</v>
      </c>
      <c r="D594" t="s">
        <v>1134</v>
      </c>
      <c r="E594">
        <v>221</v>
      </c>
      <c r="F594" t="s">
        <v>1124</v>
      </c>
      <c r="G594" s="83">
        <v>3.65</v>
      </c>
      <c r="H594" s="83">
        <v>80516.929999999993</v>
      </c>
      <c r="I594" t="s">
        <v>1165</v>
      </c>
      <c r="J594" s="83">
        <v>1.21</v>
      </c>
      <c r="K594" s="83">
        <v>26889.07</v>
      </c>
      <c r="L594" t="s">
        <v>1166</v>
      </c>
      <c r="M594">
        <v>53627.86</v>
      </c>
      <c r="N594" s="84">
        <v>8.1000000000000003E-2</v>
      </c>
    </row>
    <row r="595" spans="3:14" x14ac:dyDescent="0.25">
      <c r="C595">
        <v>477</v>
      </c>
      <c r="D595" t="s">
        <v>1134</v>
      </c>
      <c r="E595">
        <v>165</v>
      </c>
      <c r="F595" t="s">
        <v>1143</v>
      </c>
      <c r="G595" s="83">
        <v>4.8499999999999996</v>
      </c>
      <c r="H595" s="83">
        <v>79914.45</v>
      </c>
      <c r="I595" t="s">
        <v>1165</v>
      </c>
      <c r="J595" s="83">
        <v>2.4700000000000002</v>
      </c>
      <c r="K595" s="83">
        <v>40865.550000000003</v>
      </c>
      <c r="L595" t="s">
        <v>1166</v>
      </c>
      <c r="M595">
        <v>39048.9</v>
      </c>
      <c r="N595" s="84">
        <v>6.7699999999999996E-2</v>
      </c>
    </row>
    <row r="596" spans="3:14" x14ac:dyDescent="0.25">
      <c r="C596">
        <v>478</v>
      </c>
      <c r="D596" t="s">
        <v>930</v>
      </c>
      <c r="E596">
        <v>121</v>
      </c>
      <c r="F596" t="s">
        <v>1154</v>
      </c>
      <c r="G596" s="83">
        <v>6.75</v>
      </c>
      <c r="H596" s="83">
        <v>81593.929999999993</v>
      </c>
      <c r="I596" t="s">
        <v>1165</v>
      </c>
      <c r="J596" s="83">
        <v>2.21</v>
      </c>
      <c r="K596" s="83">
        <v>26822.07</v>
      </c>
      <c r="L596" t="s">
        <v>1166</v>
      </c>
      <c r="M596">
        <v>54771.86</v>
      </c>
      <c r="N596" s="84">
        <v>6.8699999999999997E-2</v>
      </c>
    </row>
    <row r="597" spans="3:14" x14ac:dyDescent="0.25">
      <c r="C597">
        <v>479</v>
      </c>
      <c r="D597" t="s">
        <v>930</v>
      </c>
      <c r="E597">
        <v>131</v>
      </c>
      <c r="F597" t="s">
        <v>1156</v>
      </c>
      <c r="G597" s="83">
        <v>6.3</v>
      </c>
      <c r="H597" s="83">
        <v>82442.23</v>
      </c>
      <c r="I597" t="s">
        <v>1165</v>
      </c>
      <c r="J597" s="83">
        <v>1.55</v>
      </c>
      <c r="K597" s="83">
        <v>20392.77</v>
      </c>
      <c r="L597" t="s">
        <v>1166</v>
      </c>
      <c r="M597">
        <v>62049.46</v>
      </c>
      <c r="N597" s="84">
        <v>7.2900000000000006E-2</v>
      </c>
    </row>
    <row r="598" spans="3:14" x14ac:dyDescent="0.25">
      <c r="C598">
        <v>480</v>
      </c>
      <c r="D598" t="s">
        <v>930</v>
      </c>
      <c r="E598">
        <v>147</v>
      </c>
      <c r="F598" t="s">
        <v>1133</v>
      </c>
      <c r="G598" s="83">
        <v>5.7</v>
      </c>
      <c r="H598" s="83">
        <v>83691.509999999995</v>
      </c>
      <c r="I598" t="s">
        <v>1165</v>
      </c>
      <c r="J598" s="83">
        <v>1.95</v>
      </c>
      <c r="K598" s="83">
        <v>28763.49</v>
      </c>
      <c r="L598" t="s">
        <v>1166</v>
      </c>
      <c r="M598">
        <v>54928.02</v>
      </c>
      <c r="N598" s="84">
        <v>5.8400000000000001E-2</v>
      </c>
    </row>
    <row r="599" spans="3:14" x14ac:dyDescent="0.25">
      <c r="C599">
        <v>481</v>
      </c>
      <c r="D599" t="s">
        <v>930</v>
      </c>
      <c r="E599">
        <v>158</v>
      </c>
      <c r="F599" t="s">
        <v>1158</v>
      </c>
      <c r="G599" s="83">
        <v>5.35</v>
      </c>
      <c r="H599" s="83">
        <v>84424.14</v>
      </c>
      <c r="I599" t="s">
        <v>1165</v>
      </c>
      <c r="J599" s="83">
        <v>2.36</v>
      </c>
      <c r="K599" s="83">
        <v>37393.86</v>
      </c>
      <c r="L599" t="s">
        <v>1166</v>
      </c>
      <c r="M599">
        <v>47030.28</v>
      </c>
      <c r="N599" s="84">
        <v>4.7300000000000002E-2</v>
      </c>
    </row>
    <row r="600" spans="3:14" x14ac:dyDescent="0.25">
      <c r="C600">
        <v>482</v>
      </c>
      <c r="D600" t="s">
        <v>930</v>
      </c>
      <c r="E600">
        <v>139</v>
      </c>
      <c r="F600" t="s">
        <v>1142</v>
      </c>
      <c r="G600" s="83">
        <v>6.4</v>
      </c>
      <c r="H600" s="83">
        <v>88866.87</v>
      </c>
      <c r="I600" t="s">
        <v>1165</v>
      </c>
      <c r="J600" s="83">
        <v>3.15</v>
      </c>
      <c r="K600" s="83">
        <v>43878.13</v>
      </c>
      <c r="L600" t="s">
        <v>1166</v>
      </c>
      <c r="M600">
        <v>44988.74</v>
      </c>
      <c r="N600" s="84">
        <v>4.9799999999999997E-2</v>
      </c>
    </row>
    <row r="601" spans="3:14" x14ac:dyDescent="0.25">
      <c r="C601">
        <v>483</v>
      </c>
      <c r="D601" t="s">
        <v>930</v>
      </c>
      <c r="E601">
        <v>173</v>
      </c>
      <c r="F601" t="s">
        <v>1163</v>
      </c>
      <c r="G601" s="83">
        <v>5.2</v>
      </c>
      <c r="H601" s="83">
        <v>89844.09</v>
      </c>
      <c r="I601" t="s">
        <v>1165</v>
      </c>
      <c r="J601" s="83">
        <v>2.5</v>
      </c>
      <c r="K601" s="83">
        <v>43365.91</v>
      </c>
      <c r="L601" t="s">
        <v>1166</v>
      </c>
      <c r="M601">
        <v>46478.18</v>
      </c>
      <c r="N601" s="84">
        <v>4.48E-2</v>
      </c>
    </row>
    <row r="602" spans="3:14" x14ac:dyDescent="0.25">
      <c r="C602">
        <v>484</v>
      </c>
      <c r="D602" t="s">
        <v>1121</v>
      </c>
      <c r="E602">
        <v>43</v>
      </c>
      <c r="F602" t="s">
        <v>1145</v>
      </c>
      <c r="G602" s="83">
        <v>20.8</v>
      </c>
      <c r="H602" s="83">
        <v>89411.19</v>
      </c>
      <c r="I602" t="s">
        <v>1165</v>
      </c>
      <c r="J602" s="83">
        <v>11.15</v>
      </c>
      <c r="K602" s="83">
        <v>47973.81</v>
      </c>
      <c r="L602" t="s">
        <v>1166</v>
      </c>
      <c r="M602">
        <v>41437.379999999997</v>
      </c>
      <c r="N602" s="84">
        <v>4.02E-2</v>
      </c>
    </row>
    <row r="603" spans="3:14" x14ac:dyDescent="0.25">
      <c r="C603">
        <v>485</v>
      </c>
      <c r="D603" t="s">
        <v>1121</v>
      </c>
      <c r="E603">
        <v>42</v>
      </c>
      <c r="F603" t="s">
        <v>1164</v>
      </c>
      <c r="G603" s="83">
        <v>22.1</v>
      </c>
      <c r="H603" s="83">
        <v>92791.86</v>
      </c>
      <c r="I603" t="s">
        <v>1165</v>
      </c>
      <c r="J603" s="83">
        <v>16.3</v>
      </c>
      <c r="K603" s="83">
        <v>68488.14</v>
      </c>
      <c r="L603" t="s">
        <v>1166</v>
      </c>
      <c r="M603">
        <v>24303.72</v>
      </c>
      <c r="N603" s="84">
        <v>2.41E-2</v>
      </c>
    </row>
    <row r="604" spans="3:14" x14ac:dyDescent="0.25">
      <c r="C604">
        <v>486</v>
      </c>
      <c r="D604" t="s">
        <v>1121</v>
      </c>
      <c r="E604">
        <v>48</v>
      </c>
      <c r="F604" t="s">
        <v>1167</v>
      </c>
      <c r="G604" s="83">
        <v>19.3</v>
      </c>
      <c r="H604" s="83">
        <v>92607.84</v>
      </c>
      <c r="I604" t="s">
        <v>1165</v>
      </c>
      <c r="J604" s="83">
        <v>13.95</v>
      </c>
      <c r="K604" s="83">
        <v>66992.160000000003</v>
      </c>
      <c r="L604" t="s">
        <v>1166</v>
      </c>
      <c r="M604">
        <v>25615.68</v>
      </c>
      <c r="N604" s="84">
        <v>2.3199999999999998E-2</v>
      </c>
    </row>
    <row r="605" spans="3:14" x14ac:dyDescent="0.25">
      <c r="C605">
        <v>487</v>
      </c>
      <c r="D605" t="s">
        <v>524</v>
      </c>
      <c r="E605">
        <v>74</v>
      </c>
      <c r="F605" t="s">
        <v>1170</v>
      </c>
      <c r="G605" s="83">
        <v>12.1</v>
      </c>
      <c r="H605" s="83">
        <v>89490.42</v>
      </c>
      <c r="I605" t="s">
        <v>1165</v>
      </c>
      <c r="J605" s="83">
        <v>8.8000000000000007</v>
      </c>
      <c r="K605" s="83">
        <v>65169.58</v>
      </c>
      <c r="L605" t="s">
        <v>1166</v>
      </c>
      <c r="M605">
        <v>24320.84</v>
      </c>
      <c r="N605" s="84">
        <v>2.2700000000000001E-2</v>
      </c>
    </row>
    <row r="606" spans="3:14" x14ac:dyDescent="0.25">
      <c r="C606">
        <v>488</v>
      </c>
      <c r="D606" t="s">
        <v>1069</v>
      </c>
      <c r="E606">
        <v>97</v>
      </c>
      <c r="F606" t="s">
        <v>1152</v>
      </c>
      <c r="G606" s="83">
        <v>9.5500000000000007</v>
      </c>
      <c r="H606" s="83">
        <v>92570.01</v>
      </c>
      <c r="I606" t="s">
        <v>1165</v>
      </c>
      <c r="J606" s="83">
        <v>4.45</v>
      </c>
      <c r="K606" s="83">
        <v>43229.99</v>
      </c>
      <c r="L606" t="s">
        <v>1166</v>
      </c>
      <c r="M606">
        <v>49340.02</v>
      </c>
      <c r="N606" s="84">
        <v>4.6300000000000001E-2</v>
      </c>
    </row>
    <row r="607" spans="3:14" x14ac:dyDescent="0.25">
      <c r="C607">
        <v>489</v>
      </c>
      <c r="D607" t="s">
        <v>1121</v>
      </c>
      <c r="E607">
        <v>45</v>
      </c>
      <c r="F607" t="s">
        <v>1171</v>
      </c>
      <c r="G607" s="83">
        <v>20.55</v>
      </c>
      <c r="H607" s="83">
        <v>92444.85</v>
      </c>
      <c r="I607" t="s">
        <v>1165</v>
      </c>
      <c r="J607" s="83">
        <v>13.4</v>
      </c>
      <c r="K607" s="83">
        <v>60330.15</v>
      </c>
      <c r="L607" t="s">
        <v>1166</v>
      </c>
      <c r="M607">
        <v>32114.7</v>
      </c>
      <c r="N607" s="84">
        <v>2.98E-2</v>
      </c>
    </row>
    <row r="608" spans="3:14" x14ac:dyDescent="0.25">
      <c r="C608">
        <v>490</v>
      </c>
      <c r="D608" t="s">
        <v>1069</v>
      </c>
      <c r="E608">
        <v>97</v>
      </c>
      <c r="F608" t="s">
        <v>1173</v>
      </c>
      <c r="G608" s="83">
        <v>9.65</v>
      </c>
      <c r="H608" s="83">
        <v>93540.01</v>
      </c>
      <c r="I608" t="s">
        <v>1165</v>
      </c>
      <c r="J608" s="83">
        <v>5.2</v>
      </c>
      <c r="K608" s="83">
        <v>50504.99</v>
      </c>
      <c r="L608" t="s">
        <v>1166</v>
      </c>
      <c r="M608">
        <v>43035.02</v>
      </c>
      <c r="N608" s="84">
        <v>3.8600000000000002E-2</v>
      </c>
    </row>
    <row r="609" spans="3:14" x14ac:dyDescent="0.25">
      <c r="C609">
        <v>491</v>
      </c>
      <c r="D609" t="s">
        <v>1121</v>
      </c>
      <c r="E609">
        <v>46</v>
      </c>
      <c r="F609" t="s">
        <v>1174</v>
      </c>
      <c r="G609" s="83">
        <v>21.25</v>
      </c>
      <c r="H609" s="83">
        <v>97719.18</v>
      </c>
      <c r="I609" t="s">
        <v>1165</v>
      </c>
      <c r="J609" s="83">
        <v>18.899999999999999</v>
      </c>
      <c r="K609" s="83">
        <v>86970.82</v>
      </c>
      <c r="L609" t="s">
        <v>1166</v>
      </c>
      <c r="M609">
        <v>10748.36</v>
      </c>
      <c r="N609" s="84">
        <v>9.7000000000000003E-3</v>
      </c>
    </row>
    <row r="610" spans="3:14" x14ac:dyDescent="0.25">
      <c r="C610">
        <v>492</v>
      </c>
      <c r="D610" t="s">
        <v>1067</v>
      </c>
      <c r="E610">
        <v>218</v>
      </c>
      <c r="F610" t="s">
        <v>1176</v>
      </c>
      <c r="G610" s="83">
        <v>4.55</v>
      </c>
      <c r="H610" s="83">
        <v>99043.94</v>
      </c>
      <c r="I610" t="s">
        <v>1165</v>
      </c>
      <c r="J610" s="83">
        <v>5</v>
      </c>
      <c r="K610" s="83">
        <v>109146.06</v>
      </c>
      <c r="L610" t="s">
        <v>1166</v>
      </c>
      <c r="M610">
        <v>-10102.120000000001</v>
      </c>
      <c r="N610" s="84">
        <v>-8.8000000000000005E-3</v>
      </c>
    </row>
    <row r="611" spans="3:14" x14ac:dyDescent="0.25">
      <c r="C611">
        <v>493</v>
      </c>
      <c r="D611" t="s">
        <v>1121</v>
      </c>
      <c r="E611">
        <v>37</v>
      </c>
      <c r="F611" t="s">
        <v>1177</v>
      </c>
      <c r="G611" s="83">
        <v>25.9</v>
      </c>
      <c r="H611" s="83">
        <v>95805.21</v>
      </c>
      <c r="I611" t="s">
        <v>1165</v>
      </c>
      <c r="J611" s="83">
        <v>21.75</v>
      </c>
      <c r="K611" s="83">
        <v>80499.789999999994</v>
      </c>
      <c r="L611" t="s">
        <v>1166</v>
      </c>
      <c r="M611">
        <v>15305.42</v>
      </c>
      <c r="N611" s="84">
        <v>1.66E-2</v>
      </c>
    </row>
    <row r="612" spans="3:14" x14ac:dyDescent="0.25">
      <c r="C612">
        <v>494</v>
      </c>
      <c r="D612" t="s">
        <v>1067</v>
      </c>
      <c r="E612">
        <v>211</v>
      </c>
      <c r="F612" t="s">
        <v>1178</v>
      </c>
      <c r="G612" s="83">
        <v>4.7</v>
      </c>
      <c r="H612" s="83">
        <v>99028.63</v>
      </c>
      <c r="I612" t="s">
        <v>1165</v>
      </c>
      <c r="J612" s="83">
        <v>5.35</v>
      </c>
      <c r="K612" s="83">
        <v>113026.37</v>
      </c>
      <c r="L612" t="s">
        <v>1166</v>
      </c>
      <c r="M612">
        <v>-13997.74</v>
      </c>
      <c r="N612" s="84">
        <v>-1.23E-2</v>
      </c>
    </row>
    <row r="613" spans="3:14" x14ac:dyDescent="0.25">
      <c r="C613">
        <v>495</v>
      </c>
      <c r="D613" t="s">
        <v>993</v>
      </c>
      <c r="E613">
        <v>76</v>
      </c>
      <c r="F613" t="s">
        <v>1179</v>
      </c>
      <c r="G613" s="83">
        <v>13.05</v>
      </c>
      <c r="H613" s="83">
        <v>99129.08</v>
      </c>
      <c r="I613" t="s">
        <v>1165</v>
      </c>
      <c r="J613" s="83">
        <v>14.4</v>
      </c>
      <c r="K613" s="83">
        <v>109490.92</v>
      </c>
      <c r="L613" t="s">
        <v>1166</v>
      </c>
      <c r="M613">
        <v>-10361.84</v>
      </c>
      <c r="N613" s="84">
        <v>-9.1000000000000004E-3</v>
      </c>
    </row>
    <row r="614" spans="3:14" x14ac:dyDescent="0.25">
      <c r="C614">
        <v>496</v>
      </c>
      <c r="D614" t="s">
        <v>993</v>
      </c>
      <c r="E614">
        <v>76</v>
      </c>
      <c r="F614" t="s">
        <v>1180</v>
      </c>
      <c r="G614" s="83">
        <v>13.4</v>
      </c>
      <c r="H614" s="83">
        <v>101789.08</v>
      </c>
      <c r="I614" t="s">
        <v>1165</v>
      </c>
      <c r="J614" s="83">
        <v>15.9</v>
      </c>
      <c r="K614" s="83">
        <v>120890.92</v>
      </c>
      <c r="L614" t="s">
        <v>1166</v>
      </c>
      <c r="M614">
        <v>-19101.84</v>
      </c>
      <c r="N614" s="84">
        <v>-1.6199999999999999E-2</v>
      </c>
    </row>
    <row r="615" spans="3:14" x14ac:dyDescent="0.25">
      <c r="C615">
        <v>497</v>
      </c>
      <c r="D615" t="s">
        <v>1134</v>
      </c>
      <c r="E615">
        <v>283</v>
      </c>
      <c r="F615" t="s">
        <v>1181</v>
      </c>
      <c r="G615" s="83">
        <v>3.65</v>
      </c>
      <c r="H615" s="83">
        <v>103105.39</v>
      </c>
      <c r="I615" t="s">
        <v>1165</v>
      </c>
      <c r="J615" s="83">
        <v>4.8499999999999996</v>
      </c>
      <c r="K615" s="83">
        <v>137444.60999999999</v>
      </c>
      <c r="L615" t="s">
        <v>1166</v>
      </c>
      <c r="M615">
        <v>-34339.22</v>
      </c>
      <c r="N615" s="84">
        <v>-3.2000000000000001E-2</v>
      </c>
    </row>
    <row r="616" spans="3:14" x14ac:dyDescent="0.25">
      <c r="C616">
        <v>498</v>
      </c>
      <c r="D616" t="s">
        <v>1067</v>
      </c>
      <c r="E616">
        <v>211</v>
      </c>
      <c r="F616" t="s">
        <v>1161</v>
      </c>
      <c r="G616" s="83">
        <v>4.9000000000000004</v>
      </c>
      <c r="H616" s="83">
        <v>103248.63</v>
      </c>
      <c r="I616" t="s">
        <v>1165</v>
      </c>
      <c r="J616" s="83">
        <v>5.7</v>
      </c>
      <c r="K616" s="83">
        <v>120411.37</v>
      </c>
      <c r="L616" t="s">
        <v>1166</v>
      </c>
      <c r="M616">
        <v>-17162.740000000002</v>
      </c>
      <c r="N616" s="84">
        <v>-1.4800000000000001E-2</v>
      </c>
    </row>
    <row r="617" spans="3:14" x14ac:dyDescent="0.25">
      <c r="C617">
        <v>499</v>
      </c>
      <c r="D617" t="s">
        <v>1069</v>
      </c>
      <c r="E617">
        <v>87</v>
      </c>
      <c r="F617" t="s">
        <v>1182</v>
      </c>
      <c r="G617" s="83">
        <v>11.15</v>
      </c>
      <c r="H617" s="83">
        <v>96946.71</v>
      </c>
      <c r="I617" t="s">
        <v>1165</v>
      </c>
      <c r="J617" s="83">
        <v>8</v>
      </c>
      <c r="K617" s="83">
        <v>69658.289999999994</v>
      </c>
      <c r="L617" t="s">
        <v>1166</v>
      </c>
      <c r="M617">
        <v>27288.42</v>
      </c>
      <c r="N617" s="84">
        <v>2.5100000000000001E-2</v>
      </c>
    </row>
    <row r="618" spans="3:14" x14ac:dyDescent="0.25">
      <c r="C618">
        <v>500</v>
      </c>
      <c r="D618" t="s">
        <v>814</v>
      </c>
      <c r="E618">
        <v>242</v>
      </c>
      <c r="F618" t="s">
        <v>1183</v>
      </c>
      <c r="G618" s="83">
        <v>4.0999999999999996</v>
      </c>
      <c r="H618" s="83">
        <v>99057.86</v>
      </c>
      <c r="I618" t="s">
        <v>1165</v>
      </c>
      <c r="J618" s="83">
        <v>5.5</v>
      </c>
      <c r="K618" s="83">
        <v>133262.14000000001</v>
      </c>
      <c r="L618" t="s">
        <v>1166</v>
      </c>
      <c r="M618">
        <v>-34204.28</v>
      </c>
      <c r="N618" s="84">
        <v>-3.3700000000000001E-2</v>
      </c>
    </row>
    <row r="619" spans="3:14" x14ac:dyDescent="0.25">
      <c r="C619">
        <v>501</v>
      </c>
      <c r="D619" t="s">
        <v>1067</v>
      </c>
      <c r="E619">
        <v>194</v>
      </c>
      <c r="F619" t="s">
        <v>1184</v>
      </c>
      <c r="G619" s="83">
        <v>5.15</v>
      </c>
      <c r="H619" s="83">
        <v>99780.02</v>
      </c>
      <c r="I619" t="s">
        <v>1165</v>
      </c>
      <c r="J619" s="83">
        <v>4.6500000000000004</v>
      </c>
      <c r="K619" s="83">
        <v>90339.98</v>
      </c>
      <c r="L619" t="s">
        <v>1166</v>
      </c>
      <c r="M619">
        <v>9440.0400000000009</v>
      </c>
      <c r="N619" s="84">
        <v>9.4000000000000004E-3</v>
      </c>
    </row>
    <row r="620" spans="3:14" x14ac:dyDescent="0.25">
      <c r="C620">
        <v>502</v>
      </c>
      <c r="D620" t="s">
        <v>1121</v>
      </c>
      <c r="E620">
        <v>36</v>
      </c>
      <c r="F620" t="s">
        <v>1185</v>
      </c>
      <c r="G620" s="83">
        <v>27.15</v>
      </c>
      <c r="H620" s="83">
        <v>97715.88</v>
      </c>
      <c r="I620" t="s">
        <v>1165</v>
      </c>
      <c r="J620" s="83">
        <v>24.9</v>
      </c>
      <c r="K620" s="83">
        <v>89664.12</v>
      </c>
      <c r="L620" t="s">
        <v>1166</v>
      </c>
      <c r="M620">
        <v>8051.76</v>
      </c>
      <c r="N620" s="84">
        <v>8.6E-3</v>
      </c>
    </row>
    <row r="621" spans="3:14" x14ac:dyDescent="0.25">
      <c r="C621">
        <v>503</v>
      </c>
      <c r="D621" t="s">
        <v>1067</v>
      </c>
      <c r="E621">
        <v>177</v>
      </c>
      <c r="F621" t="s">
        <v>1186</v>
      </c>
      <c r="G621" s="83">
        <v>5.35</v>
      </c>
      <c r="H621" s="83">
        <v>94576.41</v>
      </c>
      <c r="I621" t="s">
        <v>1165</v>
      </c>
      <c r="J621" s="83">
        <v>4.3499999999999996</v>
      </c>
      <c r="K621" s="83">
        <v>77113.59</v>
      </c>
      <c r="L621" t="s">
        <v>1166</v>
      </c>
      <c r="M621">
        <v>17462.82</v>
      </c>
      <c r="N621" s="84">
        <v>1.9400000000000001E-2</v>
      </c>
    </row>
    <row r="622" spans="3:14" x14ac:dyDescent="0.25">
      <c r="C622">
        <v>504</v>
      </c>
      <c r="D622" t="s">
        <v>930</v>
      </c>
      <c r="E622">
        <v>147</v>
      </c>
      <c r="F622" t="s">
        <v>1187</v>
      </c>
      <c r="G622" s="83">
        <v>6.6</v>
      </c>
      <c r="H622" s="83">
        <v>96921.51</v>
      </c>
      <c r="I622" t="s">
        <v>1165</v>
      </c>
      <c r="J622" s="83">
        <v>6.75</v>
      </c>
      <c r="K622" s="83">
        <v>99323.49</v>
      </c>
      <c r="L622" t="s">
        <v>1166</v>
      </c>
      <c r="M622">
        <v>-2401.98</v>
      </c>
      <c r="N622" s="84">
        <v>-2.3E-3</v>
      </c>
    </row>
    <row r="623" spans="3:14" x14ac:dyDescent="0.25">
      <c r="C623">
        <v>505</v>
      </c>
      <c r="D623" t="s">
        <v>1079</v>
      </c>
      <c r="E623">
        <v>18</v>
      </c>
      <c r="F623" t="s">
        <v>1188</v>
      </c>
      <c r="G623" s="83">
        <v>55.4</v>
      </c>
      <c r="H623" s="83">
        <v>99707.94</v>
      </c>
      <c r="I623" t="s">
        <v>1165</v>
      </c>
      <c r="J623" s="83">
        <v>54</v>
      </c>
      <c r="K623" s="83">
        <v>97212.06</v>
      </c>
      <c r="L623" t="s">
        <v>1166</v>
      </c>
      <c r="M623">
        <v>2495.88</v>
      </c>
      <c r="N623" s="84">
        <v>2.2000000000000001E-3</v>
      </c>
    </row>
    <row r="624" spans="3:14" x14ac:dyDescent="0.25">
      <c r="C624">
        <v>506</v>
      </c>
      <c r="D624" t="s">
        <v>1079</v>
      </c>
      <c r="E624">
        <v>19</v>
      </c>
      <c r="F624" t="s">
        <v>1162</v>
      </c>
      <c r="G624" s="83">
        <v>53.3</v>
      </c>
      <c r="H624" s="83">
        <v>101257.27</v>
      </c>
      <c r="I624" t="s">
        <v>1165</v>
      </c>
      <c r="J624" s="83">
        <v>58</v>
      </c>
      <c r="K624" s="83">
        <v>110212.73</v>
      </c>
      <c r="L624" t="s">
        <v>1166</v>
      </c>
      <c r="M624">
        <v>-8955.4599999999991</v>
      </c>
      <c r="N624" s="84">
        <v>-7.4999999999999997E-3</v>
      </c>
    </row>
    <row r="625" spans="2:14" x14ac:dyDescent="0.25">
      <c r="C625">
        <v>507</v>
      </c>
      <c r="D625" t="s">
        <v>1079</v>
      </c>
      <c r="E625">
        <v>18</v>
      </c>
      <c r="F625" t="s">
        <v>1189</v>
      </c>
      <c r="G625" s="83">
        <v>56.5</v>
      </c>
      <c r="H625" s="83">
        <v>101687.94</v>
      </c>
      <c r="I625" t="s">
        <v>1165</v>
      </c>
      <c r="J625" s="83">
        <v>61</v>
      </c>
      <c r="K625" s="83">
        <v>109812.06</v>
      </c>
      <c r="L625" t="s">
        <v>1166</v>
      </c>
      <c r="M625">
        <v>-8124.12</v>
      </c>
      <c r="N625" s="84">
        <v>-7.1000000000000004E-3</v>
      </c>
    </row>
    <row r="626" spans="2:14" x14ac:dyDescent="0.25">
      <c r="C626">
        <v>508</v>
      </c>
      <c r="D626" t="s">
        <v>993</v>
      </c>
      <c r="E626">
        <v>67</v>
      </c>
      <c r="F626" t="s">
        <v>1190</v>
      </c>
      <c r="G626" s="83">
        <v>14.95</v>
      </c>
      <c r="H626" s="83">
        <v>100120.11</v>
      </c>
      <c r="I626" t="s">
        <v>1165</v>
      </c>
      <c r="J626" s="83">
        <v>17.649999999999999</v>
      </c>
      <c r="K626" s="83">
        <v>118299.89</v>
      </c>
      <c r="L626" t="s">
        <v>1166</v>
      </c>
      <c r="M626">
        <v>-18179.78</v>
      </c>
      <c r="N626" s="84">
        <v>-1.7000000000000001E-2</v>
      </c>
    </row>
    <row r="627" spans="2:14" x14ac:dyDescent="0.25">
      <c r="M627" s="92">
        <f>SUM(M119:M626)</f>
        <v>6273918.929999996</v>
      </c>
    </row>
    <row r="628" spans="2:14" x14ac:dyDescent="0.25">
      <c r="B628" t="s">
        <v>149</v>
      </c>
    </row>
    <row r="629" spans="2:14" x14ac:dyDescent="0.25">
      <c r="M629" s="83">
        <v>6273918.9299999997</v>
      </c>
    </row>
    <row r="630" spans="2:14" x14ac:dyDescent="0.25">
      <c r="B630" t="s">
        <v>11</v>
      </c>
    </row>
    <row r="631" spans="2:14" x14ac:dyDescent="0.25">
      <c r="C631" t="s">
        <v>21</v>
      </c>
      <c r="D631" t="s">
        <v>18</v>
      </c>
    </row>
    <row r="632" spans="2:14" x14ac:dyDescent="0.25">
      <c r="C632" t="s">
        <v>131</v>
      </c>
      <c r="D632" t="s">
        <v>129</v>
      </c>
    </row>
    <row r="633" spans="2:14" x14ac:dyDescent="0.25">
      <c r="C633" t="s">
        <v>21</v>
      </c>
      <c r="D633" t="s">
        <v>18</v>
      </c>
    </row>
    <row r="634" spans="2:14" x14ac:dyDescent="0.25">
      <c r="C634" t="s">
        <v>174</v>
      </c>
      <c r="D634" t="s">
        <v>130</v>
      </c>
    </row>
    <row r="635" spans="2:14" x14ac:dyDescent="0.25">
      <c r="C635" t="s">
        <v>175</v>
      </c>
      <c r="D635" s="83">
        <v>1000000</v>
      </c>
    </row>
    <row r="636" spans="2:14" x14ac:dyDescent="0.25">
      <c r="C636" t="s">
        <v>176</v>
      </c>
      <c r="D636">
        <v>72</v>
      </c>
    </row>
    <row r="637" spans="2:14" x14ac:dyDescent="0.25">
      <c r="C637" t="s">
        <v>177</v>
      </c>
      <c r="D637">
        <v>7</v>
      </c>
    </row>
    <row r="638" spans="2:14" x14ac:dyDescent="0.25">
      <c r="C638" t="s">
        <v>178</v>
      </c>
      <c r="D638">
        <v>1</v>
      </c>
    </row>
    <row r="639" spans="2:14" x14ac:dyDescent="0.25">
      <c r="C639" t="s">
        <v>21</v>
      </c>
      <c r="D639" t="s">
        <v>18</v>
      </c>
    </row>
    <row r="641" spans="2:4" x14ac:dyDescent="0.25">
      <c r="B641" t="s">
        <v>12</v>
      </c>
    </row>
    <row r="642" spans="2:4" x14ac:dyDescent="0.25">
      <c r="C642" t="s">
        <v>21</v>
      </c>
      <c r="D642" t="s">
        <v>18</v>
      </c>
    </row>
    <row r="643" spans="2:4" x14ac:dyDescent="0.25">
      <c r="C643" t="s">
        <v>131</v>
      </c>
      <c r="D643" t="s">
        <v>129</v>
      </c>
    </row>
    <row r="644" spans="2:4" x14ac:dyDescent="0.25">
      <c r="C644" t="s">
        <v>21</v>
      </c>
      <c r="D644" t="s">
        <v>18</v>
      </c>
    </row>
    <row r="645" spans="2:4" x14ac:dyDescent="0.25">
      <c r="C645" t="s">
        <v>132</v>
      </c>
      <c r="D645" s="84">
        <v>-0.05</v>
      </c>
    </row>
    <row r="646" spans="2:4" x14ac:dyDescent="0.25">
      <c r="C646" t="s">
        <v>133</v>
      </c>
      <c r="D646" s="84">
        <v>1E-3</v>
      </c>
    </row>
    <row r="647" spans="2:4" x14ac:dyDescent="0.25">
      <c r="C647" t="s">
        <v>134</v>
      </c>
      <c r="D647" s="84">
        <v>0.4</v>
      </c>
    </row>
    <row r="648" spans="2:4" x14ac:dyDescent="0.25">
      <c r="C648" t="s">
        <v>135</v>
      </c>
      <c r="D648" s="84">
        <v>2E-3</v>
      </c>
    </row>
    <row r="649" spans="2:4" x14ac:dyDescent="0.25">
      <c r="C649" t="s">
        <v>136</v>
      </c>
      <c r="D649" s="83">
        <v>14</v>
      </c>
    </row>
    <row r="650" spans="2:4" x14ac:dyDescent="0.25">
      <c r="C650" t="s">
        <v>21</v>
      </c>
      <c r="D650" t="s">
        <v>18</v>
      </c>
    </row>
    <row r="652" spans="2:4" x14ac:dyDescent="0.25">
      <c r="B652" t="s">
        <v>13</v>
      </c>
    </row>
    <row r="653" spans="2:4" x14ac:dyDescent="0.25">
      <c r="C653" t="s">
        <v>21</v>
      </c>
      <c r="D653" t="s">
        <v>18</v>
      </c>
    </row>
    <row r="654" spans="2:4" x14ac:dyDescent="0.25">
      <c r="C654" t="s">
        <v>131</v>
      </c>
      <c r="D654" t="s">
        <v>129</v>
      </c>
    </row>
    <row r="655" spans="2:4" x14ac:dyDescent="0.25">
      <c r="C655" t="s">
        <v>21</v>
      </c>
      <c r="D655" t="s">
        <v>18</v>
      </c>
    </row>
    <row r="656" spans="2:4" x14ac:dyDescent="0.25">
      <c r="C656" t="s">
        <v>179</v>
      </c>
      <c r="D656">
        <v>1</v>
      </c>
    </row>
    <row r="657" spans="2:4" x14ac:dyDescent="0.25">
      <c r="C657" t="s">
        <v>180</v>
      </c>
      <c r="D657">
        <v>275</v>
      </c>
    </row>
    <row r="658" spans="2:4" x14ac:dyDescent="0.25">
      <c r="C658" t="s">
        <v>181</v>
      </c>
      <c r="D658" s="83">
        <v>3.5</v>
      </c>
    </row>
    <row r="659" spans="2:4" x14ac:dyDescent="0.25">
      <c r="C659" t="s">
        <v>182</v>
      </c>
      <c r="D659" s="84">
        <v>-0.25</v>
      </c>
    </row>
    <row r="660" spans="2:4" x14ac:dyDescent="0.25">
      <c r="C660" t="s">
        <v>183</v>
      </c>
      <c r="D660" s="84">
        <v>-1E-3</v>
      </c>
    </row>
    <row r="661" spans="2:4" x14ac:dyDescent="0.25">
      <c r="C661" t="s">
        <v>184</v>
      </c>
      <c r="D661" s="84">
        <v>0.25</v>
      </c>
    </row>
    <row r="662" spans="2:4" x14ac:dyDescent="0.25">
      <c r="C662" t="s">
        <v>185</v>
      </c>
      <c r="D662" s="84">
        <v>0.08</v>
      </c>
    </row>
    <row r="663" spans="2:4" x14ac:dyDescent="0.25">
      <c r="C663" t="s">
        <v>186</v>
      </c>
      <c r="D663">
        <v>-11</v>
      </c>
    </row>
    <row r="664" spans="2:4" x14ac:dyDescent="0.25">
      <c r="C664" t="s">
        <v>187</v>
      </c>
      <c r="D664" s="84">
        <v>-0.09</v>
      </c>
    </row>
    <row r="665" spans="2:4" x14ac:dyDescent="0.25">
      <c r="C665" t="s">
        <v>188</v>
      </c>
      <c r="D665" s="84">
        <v>-0.09</v>
      </c>
    </row>
    <row r="666" spans="2:4" x14ac:dyDescent="0.25">
      <c r="C666" t="s">
        <v>189</v>
      </c>
      <c r="D666" t="s">
        <v>137</v>
      </c>
    </row>
    <row r="667" spans="2:4" x14ac:dyDescent="0.25">
      <c r="C667" t="s">
        <v>190</v>
      </c>
      <c r="D667" t="s">
        <v>138</v>
      </c>
    </row>
    <row r="668" spans="2:4" x14ac:dyDescent="0.25">
      <c r="C668" t="s">
        <v>191</v>
      </c>
      <c r="D668" t="s">
        <v>138</v>
      </c>
    </row>
    <row r="669" spans="2:4" x14ac:dyDescent="0.25">
      <c r="C669" t="s">
        <v>21</v>
      </c>
      <c r="D669" t="s">
        <v>18</v>
      </c>
    </row>
    <row r="671" spans="2:4" x14ac:dyDescent="0.25">
      <c r="B671" t="s">
        <v>14</v>
      </c>
    </row>
    <row r="672" spans="2:4" x14ac:dyDescent="0.25">
      <c r="C672" t="s">
        <v>21</v>
      </c>
      <c r="D672" t="s">
        <v>18</v>
      </c>
    </row>
    <row r="673" spans="2:4" x14ac:dyDescent="0.25">
      <c r="C673" t="s">
        <v>131</v>
      </c>
      <c r="D673" t="s">
        <v>129</v>
      </c>
    </row>
    <row r="674" spans="2:4" x14ac:dyDescent="0.25">
      <c r="C674" t="s">
        <v>21</v>
      </c>
      <c r="D674" t="s">
        <v>18</v>
      </c>
    </row>
    <row r="675" spans="2:4" x14ac:dyDescent="0.25">
      <c r="C675" t="s">
        <v>192</v>
      </c>
      <c r="D675" s="84">
        <v>99.99</v>
      </c>
    </row>
    <row r="676" spans="2:4" x14ac:dyDescent="0.25">
      <c r="C676" t="s">
        <v>193</v>
      </c>
      <c r="D676" s="84">
        <v>0.15</v>
      </c>
    </row>
    <row r="677" spans="2:4" x14ac:dyDescent="0.25">
      <c r="C677" t="s">
        <v>194</v>
      </c>
      <c r="D677" s="84">
        <v>-99.99</v>
      </c>
    </row>
    <row r="678" spans="2:4" x14ac:dyDescent="0.25">
      <c r="C678" t="s">
        <v>195</v>
      </c>
      <c r="D678" s="84">
        <v>0.25</v>
      </c>
    </row>
    <row r="679" spans="2:4" x14ac:dyDescent="0.25">
      <c r="C679" t="s">
        <v>232</v>
      </c>
      <c r="D679" s="84">
        <v>0.8</v>
      </c>
    </row>
    <row r="680" spans="2:4" x14ac:dyDescent="0.25">
      <c r="C680" t="s">
        <v>21</v>
      </c>
      <c r="D680" t="s">
        <v>18</v>
      </c>
    </row>
    <row r="682" spans="2:4" x14ac:dyDescent="0.25">
      <c r="B682" t="s">
        <v>15</v>
      </c>
    </row>
    <row r="683" spans="2:4" x14ac:dyDescent="0.25">
      <c r="C683" t="s">
        <v>21</v>
      </c>
      <c r="D683" t="s">
        <v>18</v>
      </c>
    </row>
    <row r="684" spans="2:4" x14ac:dyDescent="0.25">
      <c r="C684" t="s">
        <v>131</v>
      </c>
      <c r="D684" t="s">
        <v>129</v>
      </c>
    </row>
    <row r="685" spans="2:4" x14ac:dyDescent="0.25">
      <c r="C685" t="s">
        <v>21</v>
      </c>
      <c r="D685" t="s">
        <v>18</v>
      </c>
    </row>
    <row r="686" spans="2:4" x14ac:dyDescent="0.25">
      <c r="C686" t="s">
        <v>196</v>
      </c>
      <c r="D686" s="83">
        <v>0.67</v>
      </c>
    </row>
    <row r="687" spans="2:4" x14ac:dyDescent="0.25">
      <c r="C687" t="s">
        <v>197</v>
      </c>
      <c r="D687" s="83">
        <v>13888.89</v>
      </c>
    </row>
    <row r="688" spans="2:4" x14ac:dyDescent="0.25">
      <c r="C688" t="s">
        <v>21</v>
      </c>
      <c r="D688" t="s">
        <v>18</v>
      </c>
    </row>
    <row r="690" spans="2:4" x14ac:dyDescent="0.25">
      <c r="B690" t="s">
        <v>16</v>
      </c>
    </row>
    <row r="691" spans="2:4" x14ac:dyDescent="0.25">
      <c r="C691" t="s">
        <v>21</v>
      </c>
      <c r="D691" t="s">
        <v>18</v>
      </c>
    </row>
    <row r="692" spans="2:4" x14ac:dyDescent="0.25">
      <c r="C692" t="s">
        <v>131</v>
      </c>
      <c r="D692" t="s">
        <v>198</v>
      </c>
    </row>
    <row r="693" spans="2:4" x14ac:dyDescent="0.25">
      <c r="C693" t="s">
        <v>21</v>
      </c>
      <c r="D693" t="s">
        <v>18</v>
      </c>
    </row>
    <row r="694" spans="2:4" x14ac:dyDescent="0.25">
      <c r="C694" t="s">
        <v>199</v>
      </c>
      <c r="D694" s="84">
        <v>0.40550000000000003</v>
      </c>
    </row>
    <row r="695" spans="2:4" x14ac:dyDescent="0.25">
      <c r="C695" t="s">
        <v>200</v>
      </c>
      <c r="D695" s="83">
        <v>6273918.9299999997</v>
      </c>
    </row>
    <row r="696" spans="2:4" x14ac:dyDescent="0.25">
      <c r="C696" t="s">
        <v>201</v>
      </c>
      <c r="D696" t="s">
        <v>1201</v>
      </c>
    </row>
    <row r="697" spans="2:4" x14ac:dyDescent="0.25">
      <c r="C697" t="s">
        <v>203</v>
      </c>
      <c r="D697">
        <v>47</v>
      </c>
    </row>
    <row r="698" spans="2:4" x14ac:dyDescent="0.25">
      <c r="C698" t="s">
        <v>204</v>
      </c>
      <c r="D698">
        <v>508</v>
      </c>
    </row>
    <row r="699" spans="2:4" x14ac:dyDescent="0.25">
      <c r="C699" t="s">
        <v>205</v>
      </c>
      <c r="D699" s="84">
        <v>-0.3785</v>
      </c>
    </row>
    <row r="700" spans="2:4" x14ac:dyDescent="0.25">
      <c r="C700" t="s">
        <v>21</v>
      </c>
      <c r="D700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50FE-D589-4112-924F-765D30DB91AC}">
  <dimension ref="A1:M91"/>
  <sheetViews>
    <sheetView workbookViewId="0">
      <selection activeCell="I1" sqref="I1"/>
    </sheetView>
  </sheetViews>
  <sheetFormatPr defaultRowHeight="15" x14ac:dyDescent="0.25"/>
  <cols>
    <col min="1" max="6" width="13.42578125" customWidth="1"/>
    <col min="8" max="8" width="15.42578125" customWidth="1"/>
    <col min="9" max="9" width="33" customWidth="1"/>
    <col min="10" max="13" width="15.42578125" customWidth="1"/>
  </cols>
  <sheetData>
    <row r="1" spans="1:6" x14ac:dyDescent="0.25">
      <c r="A1" t="s">
        <v>233</v>
      </c>
    </row>
    <row r="2" spans="1:6" x14ac:dyDescent="0.25">
      <c r="B2" t="s">
        <v>235</v>
      </c>
      <c r="C2" t="s">
        <v>236</v>
      </c>
      <c r="D2" t="s">
        <v>237</v>
      </c>
      <c r="E2" t="s">
        <v>238</v>
      </c>
      <c r="F2" t="s">
        <v>239</v>
      </c>
    </row>
    <row r="3" spans="1:6" x14ac:dyDescent="0.25">
      <c r="B3" t="s">
        <v>240</v>
      </c>
      <c r="C3" t="s">
        <v>241</v>
      </c>
      <c r="D3" t="s">
        <v>39</v>
      </c>
      <c r="E3" t="s">
        <v>242</v>
      </c>
      <c r="F3" t="s">
        <v>243</v>
      </c>
    </row>
    <row r="4" spans="1:6" x14ac:dyDescent="0.25">
      <c r="B4" t="s">
        <v>244</v>
      </c>
      <c r="C4" s="83">
        <v>1000000</v>
      </c>
      <c r="D4" s="83">
        <v>0</v>
      </c>
      <c r="E4" s="84">
        <v>0</v>
      </c>
      <c r="F4" s="84">
        <v>-9.7000000000000003E-3</v>
      </c>
    </row>
    <row r="5" spans="1:6" x14ac:dyDescent="0.25">
      <c r="B5" t="s">
        <v>245</v>
      </c>
      <c r="C5" s="83">
        <v>1000000</v>
      </c>
      <c r="D5" s="83">
        <v>0</v>
      </c>
      <c r="E5" s="84">
        <v>0</v>
      </c>
      <c r="F5" s="84">
        <v>-7.9200000000000007E-2</v>
      </c>
    </row>
    <row r="6" spans="1:6" x14ac:dyDescent="0.25">
      <c r="B6" t="s">
        <v>246</v>
      </c>
      <c r="C6" s="83">
        <v>993822.91</v>
      </c>
      <c r="D6" s="83">
        <v>-6177.09</v>
      </c>
      <c r="E6" s="84">
        <v>-6.1999999999999998E-3</v>
      </c>
      <c r="F6" s="84">
        <v>-0.1249</v>
      </c>
    </row>
    <row r="7" spans="1:6" x14ac:dyDescent="0.25">
      <c r="B7" t="s">
        <v>247</v>
      </c>
      <c r="C7" s="83">
        <v>1052313.22</v>
      </c>
      <c r="D7" s="83">
        <v>58490.31</v>
      </c>
      <c r="E7" s="84">
        <v>5.8900000000000001E-2</v>
      </c>
      <c r="F7" s="84">
        <v>0.127</v>
      </c>
    </row>
    <row r="8" spans="1:6" x14ac:dyDescent="0.25">
      <c r="B8" t="s">
        <v>248</v>
      </c>
      <c r="C8" s="83">
        <v>1116219.75</v>
      </c>
      <c r="D8" s="83">
        <v>63906.53</v>
      </c>
      <c r="E8" s="84">
        <v>6.0699999999999997E-2</v>
      </c>
      <c r="F8" s="84">
        <v>4.7600000000000003E-2</v>
      </c>
    </row>
    <row r="9" spans="1:6" x14ac:dyDescent="0.25">
      <c r="B9" t="s">
        <v>249</v>
      </c>
      <c r="C9" s="83">
        <v>1266351.3600000001</v>
      </c>
      <c r="D9" s="83">
        <v>150131.60999999999</v>
      </c>
      <c r="E9" s="84">
        <v>0.13450000000000001</v>
      </c>
      <c r="F9" s="84">
        <v>1.77E-2</v>
      </c>
    </row>
    <row r="10" spans="1:6" x14ac:dyDescent="0.25">
      <c r="B10" t="s">
        <v>250</v>
      </c>
      <c r="C10" s="83">
        <v>1419804.43</v>
      </c>
      <c r="D10" s="83">
        <v>153453.07</v>
      </c>
      <c r="E10" s="84">
        <v>0.1212</v>
      </c>
      <c r="F10" s="84">
        <v>5.8900000000000001E-2</v>
      </c>
    </row>
    <row r="11" spans="1:6" x14ac:dyDescent="0.25">
      <c r="B11" t="s">
        <v>251</v>
      </c>
      <c r="C11" s="83">
        <v>1446605</v>
      </c>
      <c r="D11" s="83">
        <v>26800.57</v>
      </c>
      <c r="E11" s="84">
        <v>1.89E-2</v>
      </c>
      <c r="F11" s="84">
        <v>6.9800000000000001E-2</v>
      </c>
    </row>
    <row r="12" spans="1:6" x14ac:dyDescent="0.25">
      <c r="B12" t="s">
        <v>252</v>
      </c>
      <c r="C12" s="83">
        <v>1461672.13</v>
      </c>
      <c r="D12" s="83">
        <v>15067.13</v>
      </c>
      <c r="E12" s="84">
        <v>1.04E-2</v>
      </c>
      <c r="F12" s="84">
        <v>-3.7400000000000003E-2</v>
      </c>
    </row>
    <row r="13" spans="1:6" x14ac:dyDescent="0.25">
      <c r="B13" t="s">
        <v>253</v>
      </c>
      <c r="C13" s="83">
        <v>1399033.16</v>
      </c>
      <c r="D13" s="83">
        <v>-62638.97</v>
      </c>
      <c r="E13" s="84">
        <v>-4.2900000000000001E-2</v>
      </c>
      <c r="F13" s="84">
        <v>-2.4899999999999999E-2</v>
      </c>
    </row>
    <row r="14" spans="1:6" x14ac:dyDescent="0.25">
      <c r="B14" t="s">
        <v>254</v>
      </c>
      <c r="C14" s="83">
        <v>1664710.94</v>
      </c>
      <c r="D14" s="83">
        <v>265677.78000000003</v>
      </c>
      <c r="E14" s="84">
        <v>0.18990000000000001</v>
      </c>
      <c r="F14" s="84">
        <v>0.10879999999999999</v>
      </c>
    </row>
    <row r="15" spans="1:6" x14ac:dyDescent="0.25">
      <c r="B15" t="s">
        <v>255</v>
      </c>
      <c r="C15" s="83">
        <v>1756005.68</v>
      </c>
      <c r="D15" s="83">
        <v>91294.74</v>
      </c>
      <c r="E15" s="84">
        <v>5.4800000000000001E-2</v>
      </c>
      <c r="F15" s="84">
        <v>3.6999999999999998E-2</v>
      </c>
    </row>
    <row r="16" spans="1:6" x14ac:dyDescent="0.25">
      <c r="B16" t="s">
        <v>256</v>
      </c>
      <c r="C16" s="83">
        <v>1739725.13</v>
      </c>
      <c r="D16" s="83">
        <v>-16280.55</v>
      </c>
      <c r="E16" s="84">
        <v>-9.2999999999999992E-3</v>
      </c>
      <c r="F16" s="84">
        <v>-1.0200000000000001E-2</v>
      </c>
    </row>
    <row r="17" spans="2:6" x14ac:dyDescent="0.25">
      <c r="B17" t="s">
        <v>257</v>
      </c>
      <c r="C17" s="83">
        <v>1937856.43</v>
      </c>
      <c r="D17" s="83">
        <v>198131.3</v>
      </c>
      <c r="E17" s="84">
        <v>0.1139</v>
      </c>
      <c r="F17" s="84">
        <v>2.7799999999999998E-2</v>
      </c>
    </row>
    <row r="18" spans="2:6" x14ac:dyDescent="0.25">
      <c r="B18" t="s">
        <v>258</v>
      </c>
      <c r="C18" s="83">
        <v>2122843.8199999998</v>
      </c>
      <c r="D18" s="83">
        <v>184987.39</v>
      </c>
      <c r="E18" s="84">
        <v>9.5500000000000002E-2</v>
      </c>
      <c r="F18" s="84">
        <v>4.5400000000000003E-2</v>
      </c>
    </row>
    <row r="19" spans="2:6" x14ac:dyDescent="0.25">
      <c r="B19" t="s">
        <v>259</v>
      </c>
      <c r="C19" s="83">
        <v>2128020.36</v>
      </c>
      <c r="D19" s="83">
        <v>5176.54</v>
      </c>
      <c r="E19" s="84">
        <v>2.3999999999999998E-3</v>
      </c>
      <c r="F19" s="84">
        <v>5.2900000000000003E-2</v>
      </c>
    </row>
    <row r="20" spans="2:6" x14ac:dyDescent="0.25">
      <c r="B20" t="s">
        <v>260</v>
      </c>
      <c r="C20" s="83">
        <v>1871562.54</v>
      </c>
      <c r="D20" s="83">
        <v>-256457.82</v>
      </c>
      <c r="E20" s="84">
        <v>-0.1205</v>
      </c>
      <c r="F20" s="84">
        <v>6.6E-3</v>
      </c>
    </row>
    <row r="21" spans="2:6" x14ac:dyDescent="0.25">
      <c r="B21" t="s">
        <v>261</v>
      </c>
      <c r="C21" s="83">
        <v>2052297.68</v>
      </c>
      <c r="D21" s="83">
        <v>180735.14</v>
      </c>
      <c r="E21" s="84">
        <v>9.6600000000000005E-2</v>
      </c>
      <c r="F21" s="84">
        <v>2.24E-2</v>
      </c>
    </row>
    <row r="22" spans="2:6" x14ac:dyDescent="0.25">
      <c r="B22" t="s">
        <v>262</v>
      </c>
      <c r="C22" s="83">
        <v>2038899.55</v>
      </c>
      <c r="D22" s="83">
        <v>-13398.13</v>
      </c>
      <c r="E22" s="84">
        <v>-6.4999999999999997E-3</v>
      </c>
      <c r="F22" s="84">
        <v>2.4400000000000002E-2</v>
      </c>
    </row>
    <row r="23" spans="2:6" x14ac:dyDescent="0.25">
      <c r="B23" t="s">
        <v>263</v>
      </c>
      <c r="C23" s="83">
        <v>2089313.97</v>
      </c>
      <c r="D23" s="83">
        <v>50414.42</v>
      </c>
      <c r="E23" s="84">
        <v>2.47E-2</v>
      </c>
      <c r="F23" s="84">
        <v>2.98E-2</v>
      </c>
    </row>
    <row r="24" spans="2:6" x14ac:dyDescent="0.25">
      <c r="B24" t="s">
        <v>264</v>
      </c>
      <c r="C24" s="83">
        <v>1973869.73</v>
      </c>
      <c r="D24" s="83">
        <v>-115444.24</v>
      </c>
      <c r="E24" s="84">
        <v>-5.5300000000000002E-2</v>
      </c>
      <c r="F24" s="84">
        <v>-4.6600000000000003E-2</v>
      </c>
    </row>
    <row r="25" spans="2:6" x14ac:dyDescent="0.25">
      <c r="B25" t="s">
        <v>265</v>
      </c>
      <c r="C25" s="83">
        <v>2546459.4900000002</v>
      </c>
      <c r="D25" s="83">
        <v>572589.76</v>
      </c>
      <c r="E25" s="84">
        <v>0.29010000000000002</v>
      </c>
      <c r="F25" s="84">
        <v>7.0199999999999999E-2</v>
      </c>
    </row>
    <row r="26" spans="2:6" x14ac:dyDescent="0.25">
      <c r="B26" t="s">
        <v>266</v>
      </c>
      <c r="C26" s="83">
        <v>2583816.6</v>
      </c>
      <c r="D26" s="83">
        <v>37357.11</v>
      </c>
      <c r="E26" s="84">
        <v>1.47E-2</v>
      </c>
      <c r="F26" s="84">
        <v>-8.0000000000000002E-3</v>
      </c>
    </row>
    <row r="27" spans="2:6" x14ac:dyDescent="0.25">
      <c r="B27" t="s">
        <v>267</v>
      </c>
      <c r="C27" s="83">
        <v>2801376.05</v>
      </c>
      <c r="D27" s="83">
        <v>217559.45</v>
      </c>
      <c r="E27" s="84">
        <v>8.4199999999999997E-2</v>
      </c>
      <c r="F27" s="84">
        <v>4.6199999999999998E-2</v>
      </c>
    </row>
    <row r="28" spans="2:6" x14ac:dyDescent="0.25">
      <c r="B28" t="s">
        <v>268</v>
      </c>
      <c r="C28" s="83">
        <v>2395184</v>
      </c>
      <c r="D28" s="83">
        <v>-406192.05</v>
      </c>
      <c r="E28" s="84">
        <v>-0.14499999999999999</v>
      </c>
      <c r="F28" s="84">
        <v>-5.2699999999999997E-2</v>
      </c>
    </row>
    <row r="29" spans="2:6" x14ac:dyDescent="0.25">
      <c r="B29" t="s">
        <v>269</v>
      </c>
      <c r="C29" s="83">
        <v>2321194.56</v>
      </c>
      <c r="D29" s="83">
        <v>-73989.440000000002</v>
      </c>
      <c r="E29" s="84">
        <v>-3.09E-2</v>
      </c>
      <c r="F29" s="84">
        <v>-2.9499999999999998E-2</v>
      </c>
    </row>
    <row r="30" spans="2:6" x14ac:dyDescent="0.25">
      <c r="B30" t="s">
        <v>270</v>
      </c>
      <c r="C30" s="83">
        <v>2259205.54</v>
      </c>
      <c r="D30" s="83">
        <v>-61989.02</v>
      </c>
      <c r="E30" s="84">
        <v>-2.6700000000000002E-2</v>
      </c>
      <c r="F30" s="84">
        <v>3.7600000000000001E-2</v>
      </c>
    </row>
    <row r="31" spans="2:6" x14ac:dyDescent="0.25">
      <c r="B31" t="s">
        <v>271</v>
      </c>
      <c r="C31" s="83">
        <v>2068669.48</v>
      </c>
      <c r="D31" s="83">
        <v>-190536.06</v>
      </c>
      <c r="E31" s="84">
        <v>-8.43E-2</v>
      </c>
      <c r="F31" s="84">
        <v>-8.7800000000000003E-2</v>
      </c>
    </row>
    <row r="32" spans="2:6" x14ac:dyDescent="0.25">
      <c r="B32" t="s">
        <v>272</v>
      </c>
      <c r="C32" s="83">
        <v>2263364.7999999998</v>
      </c>
      <c r="D32" s="83">
        <v>194695.32</v>
      </c>
      <c r="E32" s="84">
        <v>9.4100000000000003E-2</v>
      </c>
      <c r="F32" s="84">
        <v>2.3E-3</v>
      </c>
    </row>
    <row r="33" spans="2:6" x14ac:dyDescent="0.25">
      <c r="B33" t="s">
        <v>273</v>
      </c>
      <c r="C33" s="83">
        <v>1986542.18</v>
      </c>
      <c r="D33" s="83">
        <v>-276822.62</v>
      </c>
      <c r="E33" s="84">
        <v>-0.12230000000000001</v>
      </c>
      <c r="F33" s="84">
        <v>-8.2500000000000004E-2</v>
      </c>
    </row>
    <row r="34" spans="2:6" x14ac:dyDescent="0.25">
      <c r="B34" t="s">
        <v>274</v>
      </c>
      <c r="C34" s="83">
        <v>2277710.64</v>
      </c>
      <c r="D34" s="83">
        <v>291168.46000000002</v>
      </c>
      <c r="E34" s="84">
        <v>0.14660000000000001</v>
      </c>
      <c r="F34" s="84">
        <v>9.2100000000000001E-2</v>
      </c>
    </row>
    <row r="35" spans="2:6" x14ac:dyDescent="0.25">
      <c r="B35" t="s">
        <v>275</v>
      </c>
      <c r="C35" s="83">
        <v>2482676.27</v>
      </c>
      <c r="D35" s="83">
        <v>204965.63</v>
      </c>
      <c r="E35" s="84">
        <v>0.09</v>
      </c>
      <c r="F35" s="84">
        <v>-4.0800000000000003E-2</v>
      </c>
    </row>
    <row r="36" spans="2:6" x14ac:dyDescent="0.25">
      <c r="B36" t="s">
        <v>276</v>
      </c>
      <c r="C36" s="83">
        <v>2403378.7400000002</v>
      </c>
      <c r="D36" s="83">
        <v>-79297.53</v>
      </c>
      <c r="E36" s="84">
        <v>-3.1899999999999998E-2</v>
      </c>
      <c r="F36" s="84">
        <v>-9.2399999999999996E-2</v>
      </c>
    </row>
    <row r="37" spans="2:6" x14ac:dyDescent="0.25">
      <c r="B37" t="s">
        <v>277</v>
      </c>
      <c r="C37" s="83">
        <v>2685479.35</v>
      </c>
      <c r="D37" s="83">
        <v>282100.61</v>
      </c>
      <c r="E37" s="84">
        <v>0.1174</v>
      </c>
      <c r="F37" s="84">
        <v>8.1299999999999997E-2</v>
      </c>
    </row>
    <row r="38" spans="2:6" x14ac:dyDescent="0.25">
      <c r="B38" t="s">
        <v>278</v>
      </c>
      <c r="C38" s="83">
        <v>3093304.71</v>
      </c>
      <c r="D38" s="83">
        <v>407825.36</v>
      </c>
      <c r="E38" s="84">
        <v>0.15190000000000001</v>
      </c>
      <c r="F38" s="84">
        <v>5.5599999999999997E-2</v>
      </c>
    </row>
    <row r="39" spans="2:6" x14ac:dyDescent="0.25">
      <c r="B39" t="s">
        <v>279</v>
      </c>
      <c r="C39" s="83">
        <v>2829058.02</v>
      </c>
      <c r="D39" s="83">
        <v>-264246.69</v>
      </c>
      <c r="E39" s="84">
        <v>-8.5400000000000004E-2</v>
      </c>
      <c r="F39" s="84">
        <v>-5.7599999999999998E-2</v>
      </c>
    </row>
    <row r="40" spans="2:6" x14ac:dyDescent="0.25">
      <c r="B40" t="s">
        <v>280</v>
      </c>
      <c r="C40" s="83">
        <v>3112177.08</v>
      </c>
      <c r="D40" s="83">
        <v>283119.06</v>
      </c>
      <c r="E40" s="84">
        <v>0.10009999999999999</v>
      </c>
      <c r="F40" s="84">
        <v>6.2899999999999998E-2</v>
      </c>
    </row>
    <row r="41" spans="2:6" x14ac:dyDescent="0.25">
      <c r="B41" t="s">
        <v>281</v>
      </c>
      <c r="C41" s="83">
        <v>3019952.05</v>
      </c>
      <c r="D41" s="83">
        <v>-92225.03</v>
      </c>
      <c r="E41" s="84">
        <v>-2.9600000000000001E-2</v>
      </c>
      <c r="F41" s="84">
        <v>-2.5100000000000001E-2</v>
      </c>
    </row>
    <row r="42" spans="2:6" x14ac:dyDescent="0.25">
      <c r="B42" t="s">
        <v>282</v>
      </c>
      <c r="C42" s="83">
        <v>3084425.21</v>
      </c>
      <c r="D42" s="83">
        <v>64473.16</v>
      </c>
      <c r="E42" s="84">
        <v>2.1299999999999999E-2</v>
      </c>
      <c r="F42" s="84">
        <v>3.7100000000000001E-2</v>
      </c>
    </row>
    <row r="43" spans="2:6" x14ac:dyDescent="0.25">
      <c r="B43" t="s">
        <v>283</v>
      </c>
      <c r="C43" s="83">
        <v>3066536.05</v>
      </c>
      <c r="D43" s="83">
        <v>-17889.16</v>
      </c>
      <c r="E43" s="84">
        <v>-5.7999999999999996E-3</v>
      </c>
      <c r="F43" s="84">
        <v>1.6E-2</v>
      </c>
    </row>
    <row r="44" spans="2:6" x14ac:dyDescent="0.25">
      <c r="B44" t="s">
        <v>284</v>
      </c>
      <c r="C44" s="83">
        <v>3166909.6</v>
      </c>
      <c r="D44" s="83">
        <v>100373.55</v>
      </c>
      <c r="E44" s="84">
        <v>3.27E-2</v>
      </c>
      <c r="F44" s="84">
        <v>4.5999999999999999E-3</v>
      </c>
    </row>
    <row r="45" spans="2:6" x14ac:dyDescent="0.25">
      <c r="B45" t="s">
        <v>285</v>
      </c>
      <c r="C45" s="83">
        <v>3491503.24</v>
      </c>
      <c r="D45" s="83">
        <v>324593.64</v>
      </c>
      <c r="E45" s="84">
        <v>0.10249999999999999</v>
      </c>
      <c r="F45" s="84">
        <v>6.4799999999999996E-2</v>
      </c>
    </row>
    <row r="46" spans="2:6" x14ac:dyDescent="0.25">
      <c r="B46" t="s">
        <v>286</v>
      </c>
      <c r="C46" s="83">
        <v>3521918.6</v>
      </c>
      <c r="D46" s="83">
        <v>30415.360000000001</v>
      </c>
      <c r="E46" s="84">
        <v>8.6999999999999994E-3</v>
      </c>
      <c r="F46" s="84">
        <v>3.27E-2</v>
      </c>
    </row>
    <row r="47" spans="2:6" x14ac:dyDescent="0.25">
      <c r="B47" t="s">
        <v>287</v>
      </c>
      <c r="C47" s="83">
        <v>3538673.93</v>
      </c>
      <c r="D47" s="83">
        <v>16755.330000000002</v>
      </c>
      <c r="E47" s="84">
        <v>4.7999999999999996E-3</v>
      </c>
      <c r="F47" s="84">
        <v>-1.6299999999999999E-2</v>
      </c>
    </row>
    <row r="48" spans="2:6" x14ac:dyDescent="0.25">
      <c r="B48" t="s">
        <v>288</v>
      </c>
      <c r="C48" s="83">
        <v>3486785.08</v>
      </c>
      <c r="D48" s="83">
        <v>-51888.85</v>
      </c>
      <c r="E48" s="84">
        <v>-1.47E-2</v>
      </c>
      <c r="F48" s="84">
        <v>-4.7399999999999998E-2</v>
      </c>
    </row>
    <row r="49" spans="2:6" x14ac:dyDescent="0.25">
      <c r="B49" t="s">
        <v>289</v>
      </c>
      <c r="C49" s="83">
        <v>3260404.44</v>
      </c>
      <c r="D49" s="83">
        <v>-226380.64</v>
      </c>
      <c r="E49" s="84">
        <v>-6.4899999999999999E-2</v>
      </c>
      <c r="F49" s="84">
        <v>-2.1700000000000001E-2</v>
      </c>
    </row>
    <row r="50" spans="2:6" x14ac:dyDescent="0.25">
      <c r="B50" t="s">
        <v>290</v>
      </c>
      <c r="C50" s="83">
        <v>3566488.2</v>
      </c>
      <c r="D50" s="83">
        <v>306083.76</v>
      </c>
      <c r="E50" s="84">
        <v>9.3899999999999997E-2</v>
      </c>
      <c r="F50" s="84">
        <v>9.1300000000000006E-2</v>
      </c>
    </row>
    <row r="51" spans="2:6" x14ac:dyDescent="0.25">
      <c r="B51" t="s">
        <v>291</v>
      </c>
      <c r="C51" s="83">
        <v>3624749.87</v>
      </c>
      <c r="D51" s="83">
        <v>58261.67</v>
      </c>
      <c r="E51" s="84">
        <v>1.6299999999999999E-2</v>
      </c>
      <c r="F51" s="84">
        <v>4.5699999999999998E-2</v>
      </c>
    </row>
    <row r="52" spans="2:6" x14ac:dyDescent="0.25">
      <c r="B52" t="s">
        <v>292</v>
      </c>
      <c r="C52" s="83">
        <v>3463924.58</v>
      </c>
      <c r="D52" s="83">
        <v>-160825.29</v>
      </c>
      <c r="E52" s="84">
        <v>-4.4400000000000002E-2</v>
      </c>
      <c r="F52" s="84">
        <v>1.5900000000000001E-2</v>
      </c>
    </row>
    <row r="53" spans="2:6" x14ac:dyDescent="0.25">
      <c r="B53" t="s">
        <v>293</v>
      </c>
      <c r="C53" s="83">
        <v>3463924.58</v>
      </c>
      <c r="D53" s="83">
        <v>0</v>
      </c>
      <c r="E53" s="84">
        <v>0</v>
      </c>
      <c r="F53" s="84">
        <v>5.2200000000000003E-2</v>
      </c>
    </row>
    <row r="54" spans="2:6" x14ac:dyDescent="0.25">
      <c r="B54" t="s">
        <v>294</v>
      </c>
      <c r="C54" s="83">
        <v>3463924.58</v>
      </c>
      <c r="D54" s="83">
        <v>0</v>
      </c>
      <c r="E54" s="84">
        <v>0</v>
      </c>
      <c r="F54" s="84">
        <v>3.27E-2</v>
      </c>
    </row>
    <row r="55" spans="2:6" x14ac:dyDescent="0.25">
      <c r="B55" t="s">
        <v>295</v>
      </c>
      <c r="C55" s="83">
        <v>3468566.92</v>
      </c>
      <c r="D55" s="83">
        <v>4642.34</v>
      </c>
      <c r="E55" s="84">
        <v>1.2999999999999999E-3</v>
      </c>
      <c r="F55" s="84">
        <v>-4.0300000000000002E-2</v>
      </c>
    </row>
    <row r="56" spans="2:6" x14ac:dyDescent="0.25">
      <c r="B56" t="s">
        <v>296</v>
      </c>
      <c r="C56" s="83">
        <v>3689807</v>
      </c>
      <c r="D56" s="83">
        <v>221240.08</v>
      </c>
      <c r="E56" s="84">
        <v>6.3799999999999996E-2</v>
      </c>
      <c r="F56" s="84">
        <v>5.0599999999999999E-2</v>
      </c>
    </row>
    <row r="57" spans="2:6" x14ac:dyDescent="0.25">
      <c r="B57" t="s">
        <v>297</v>
      </c>
      <c r="C57" s="83">
        <v>3535489.34</v>
      </c>
      <c r="D57" s="83">
        <v>-154317.66</v>
      </c>
      <c r="E57" s="84">
        <v>-4.1799999999999997E-2</v>
      </c>
      <c r="F57" s="84">
        <v>3.5299999999999998E-2</v>
      </c>
    </row>
    <row r="58" spans="2:6" x14ac:dyDescent="0.25">
      <c r="B58" t="s">
        <v>298</v>
      </c>
      <c r="C58" s="83">
        <v>3429911.92</v>
      </c>
      <c r="D58" s="83">
        <v>-105577.42</v>
      </c>
      <c r="E58" s="84">
        <v>-2.9899999999999999E-2</v>
      </c>
      <c r="F58" s="84">
        <v>1.21E-2</v>
      </c>
    </row>
    <row r="59" spans="2:6" x14ac:dyDescent="0.25">
      <c r="B59" t="s">
        <v>299</v>
      </c>
      <c r="C59" s="83">
        <v>3436469.38</v>
      </c>
      <c r="D59" s="83">
        <v>6557.46</v>
      </c>
      <c r="E59" s="84">
        <v>1.9E-3</v>
      </c>
      <c r="F59" s="84">
        <v>2.3400000000000001E-2</v>
      </c>
    </row>
    <row r="60" spans="2:6" x14ac:dyDescent="0.25">
      <c r="B60" t="s">
        <v>300</v>
      </c>
      <c r="C60" s="83">
        <v>3584440.65</v>
      </c>
      <c r="D60" s="83">
        <v>147971.26999999999</v>
      </c>
      <c r="E60" s="84">
        <v>4.3099999999999999E-2</v>
      </c>
      <c r="F60" s="84">
        <v>2.1000000000000001E-2</v>
      </c>
    </row>
    <row r="61" spans="2:6" x14ac:dyDescent="0.25">
      <c r="B61" t="s">
        <v>301</v>
      </c>
      <c r="C61" s="83">
        <v>3477121.42</v>
      </c>
      <c r="D61" s="83">
        <v>-107319.23</v>
      </c>
      <c r="E61" s="84">
        <v>-2.9899999999999999E-2</v>
      </c>
      <c r="F61" s="84">
        <v>-8.8999999999999999E-3</v>
      </c>
    </row>
    <row r="62" spans="2:6" x14ac:dyDescent="0.25">
      <c r="B62" t="s">
        <v>302</v>
      </c>
      <c r="C62" s="83">
        <v>3763622.12</v>
      </c>
      <c r="D62" s="83">
        <v>286500.7</v>
      </c>
      <c r="E62" s="84">
        <v>8.2400000000000001E-2</v>
      </c>
      <c r="F62" s="84">
        <v>5.96E-2</v>
      </c>
    </row>
    <row r="63" spans="2:6" x14ac:dyDescent="0.25">
      <c r="B63" t="s">
        <v>303</v>
      </c>
      <c r="C63" s="83">
        <v>3734478.97</v>
      </c>
      <c r="D63" s="83">
        <v>-29143.15</v>
      </c>
      <c r="E63" s="84">
        <v>-7.7000000000000002E-3</v>
      </c>
      <c r="F63" s="84">
        <v>-2.41E-2</v>
      </c>
    </row>
    <row r="64" spans="2:6" x14ac:dyDescent="0.25">
      <c r="B64" t="s">
        <v>304</v>
      </c>
      <c r="C64" s="83">
        <v>3609756.38</v>
      </c>
      <c r="D64" s="83">
        <v>-124722.59</v>
      </c>
      <c r="E64" s="84">
        <v>-3.3399999999999999E-2</v>
      </c>
      <c r="F64" s="84">
        <v>2.69E-2</v>
      </c>
    </row>
    <row r="65" spans="1:13" x14ac:dyDescent="0.25">
      <c r="B65" t="s">
        <v>305</v>
      </c>
      <c r="C65" s="83">
        <v>3559220.19</v>
      </c>
      <c r="D65" s="83">
        <v>-50536.19</v>
      </c>
      <c r="E65" s="84">
        <v>-1.4E-2</v>
      </c>
      <c r="F65" s="84">
        <v>-1.2699999999999999E-2</v>
      </c>
    </row>
    <row r="66" spans="1:13" x14ac:dyDescent="0.25">
      <c r="B66" t="s">
        <v>306</v>
      </c>
      <c r="C66" s="83">
        <v>3037581.94</v>
      </c>
      <c r="D66" s="83">
        <v>-521638.25</v>
      </c>
      <c r="E66" s="84">
        <v>-0.14660000000000001</v>
      </c>
      <c r="F66" s="84">
        <v>-5.57E-2</v>
      </c>
    </row>
    <row r="67" spans="1:13" x14ac:dyDescent="0.25">
      <c r="B67" t="s">
        <v>307</v>
      </c>
      <c r="C67" s="83">
        <v>3468956.09</v>
      </c>
      <c r="D67" s="83">
        <v>431374.15</v>
      </c>
      <c r="E67" s="84">
        <v>0.14199999999999999</v>
      </c>
      <c r="F67" s="84">
        <v>-8.6999999999999994E-3</v>
      </c>
    </row>
    <row r="68" spans="1:13" x14ac:dyDescent="0.25">
      <c r="B68" t="s">
        <v>308</v>
      </c>
      <c r="C68" s="83">
        <v>3943852.52</v>
      </c>
      <c r="D68" s="83">
        <v>474896.43</v>
      </c>
      <c r="E68" s="84">
        <v>0.13689999999999999</v>
      </c>
      <c r="F68" s="84">
        <v>6.2799999999999995E-2</v>
      </c>
    </row>
    <row r="69" spans="1:13" x14ac:dyDescent="0.25">
      <c r="B69" t="s">
        <v>309</v>
      </c>
      <c r="C69" s="83">
        <v>4390524.24</v>
      </c>
      <c r="D69" s="83">
        <v>446671.72</v>
      </c>
      <c r="E69" s="84">
        <v>0.1133</v>
      </c>
      <c r="F69" s="84">
        <v>5.1400000000000001E-2</v>
      </c>
    </row>
    <row r="70" spans="1:13" x14ac:dyDescent="0.25">
      <c r="B70" t="s">
        <v>310</v>
      </c>
      <c r="C70" s="83">
        <v>4617529.3899999997</v>
      </c>
      <c r="D70" s="83">
        <v>227005.15</v>
      </c>
      <c r="E70" s="84">
        <v>5.1700000000000003E-2</v>
      </c>
      <c r="F70" s="84">
        <v>2.3E-2</v>
      </c>
    </row>
    <row r="71" spans="1:13" x14ac:dyDescent="0.25">
      <c r="B71" t="s">
        <v>311</v>
      </c>
      <c r="C71" s="83">
        <v>4679748.91</v>
      </c>
      <c r="D71" s="83">
        <v>62219.519999999997</v>
      </c>
      <c r="E71" s="84">
        <v>1.35E-2</v>
      </c>
      <c r="F71" s="84">
        <v>2.0500000000000001E-2</v>
      </c>
    </row>
    <row r="72" spans="1:13" x14ac:dyDescent="0.25">
      <c r="B72" t="s">
        <v>312</v>
      </c>
      <c r="C72" s="83">
        <v>5028034.0199999996</v>
      </c>
      <c r="D72" s="83">
        <v>348285.11</v>
      </c>
      <c r="E72" s="84">
        <v>7.4399999999999994E-2</v>
      </c>
      <c r="F72" s="84">
        <v>3.56E-2</v>
      </c>
    </row>
    <row r="73" spans="1:13" x14ac:dyDescent="0.25">
      <c r="B73" t="s">
        <v>313</v>
      </c>
      <c r="C73" s="83">
        <v>5112767.16</v>
      </c>
      <c r="D73" s="83">
        <v>84733.14</v>
      </c>
      <c r="E73" s="84">
        <v>1.6899999999999998E-2</v>
      </c>
      <c r="F73" s="84">
        <v>2.3800000000000002E-2</v>
      </c>
    </row>
    <row r="74" spans="1:13" x14ac:dyDescent="0.25">
      <c r="D74" s="83">
        <f>SUM(D4:D73)</f>
        <v>4112767.16</v>
      </c>
    </row>
    <row r="76" spans="1:13" x14ac:dyDescent="0.25">
      <c r="A76" t="s">
        <v>234</v>
      </c>
      <c r="H76" t="s">
        <v>317</v>
      </c>
    </row>
    <row r="77" spans="1:13" x14ac:dyDescent="0.25">
      <c r="B77" t="s">
        <v>314</v>
      </c>
      <c r="C77" t="s">
        <v>236</v>
      </c>
      <c r="D77" t="s">
        <v>315</v>
      </c>
      <c r="E77" t="s">
        <v>316</v>
      </c>
      <c r="F77" t="s">
        <v>239</v>
      </c>
      <c r="I77" t="s">
        <v>318</v>
      </c>
      <c r="J77" t="s">
        <v>319</v>
      </c>
      <c r="K77" t="s">
        <v>320</v>
      </c>
      <c r="L77" t="s">
        <v>321</v>
      </c>
      <c r="M77" t="s">
        <v>322</v>
      </c>
    </row>
    <row r="78" spans="1:13" x14ac:dyDescent="0.25">
      <c r="B78" t="s">
        <v>240</v>
      </c>
      <c r="C78" t="s">
        <v>241</v>
      </c>
      <c r="D78" t="s">
        <v>46</v>
      </c>
      <c r="E78" t="s">
        <v>242</v>
      </c>
      <c r="F78" t="s">
        <v>243</v>
      </c>
      <c r="I78" t="s">
        <v>323</v>
      </c>
      <c r="J78" t="s">
        <v>39</v>
      </c>
      <c r="K78" t="s">
        <v>324</v>
      </c>
      <c r="L78" t="s">
        <v>325</v>
      </c>
      <c r="M78" t="s">
        <v>243</v>
      </c>
    </row>
    <row r="79" spans="1:13" x14ac:dyDescent="0.25">
      <c r="B79">
        <v>2020</v>
      </c>
      <c r="C79" s="83">
        <v>1756005.68</v>
      </c>
      <c r="D79" s="83">
        <v>756005.68</v>
      </c>
      <c r="E79" s="84">
        <v>0.75600000000000001</v>
      </c>
      <c r="F79" s="84">
        <v>0.1724</v>
      </c>
      <c r="I79" t="s">
        <v>326</v>
      </c>
      <c r="J79">
        <v>19</v>
      </c>
      <c r="K79" s="88">
        <v>3.3599999999999998E-2</v>
      </c>
      <c r="L79" s="85">
        <v>498980</v>
      </c>
      <c r="M79" s="84">
        <v>1</v>
      </c>
    </row>
    <row r="80" spans="1:13" x14ac:dyDescent="0.25">
      <c r="B80">
        <v>2021</v>
      </c>
      <c r="C80" s="83">
        <v>2801376.05</v>
      </c>
      <c r="D80" s="83">
        <v>1045370.37</v>
      </c>
      <c r="E80" s="84">
        <v>0.59530000000000005</v>
      </c>
      <c r="F80" s="84">
        <v>0.2873</v>
      </c>
      <c r="I80" t="s">
        <v>327</v>
      </c>
      <c r="J80">
        <v>29</v>
      </c>
      <c r="K80" s="88">
        <v>5.1200000000000002E-2</v>
      </c>
      <c r="L80" s="85">
        <v>127300.46</v>
      </c>
      <c r="M80" s="84">
        <v>0</v>
      </c>
    </row>
    <row r="81" spans="2:13" x14ac:dyDescent="0.25">
      <c r="B81">
        <v>2022</v>
      </c>
      <c r="C81" s="83">
        <v>2829058.02</v>
      </c>
      <c r="D81" s="83">
        <v>27681.97</v>
      </c>
      <c r="E81" s="84">
        <v>9.9000000000000008E-3</v>
      </c>
      <c r="F81" s="84">
        <v>-0.18179999999999999</v>
      </c>
      <c r="I81" t="s">
        <v>328</v>
      </c>
      <c r="J81">
        <v>74</v>
      </c>
      <c r="K81" s="88">
        <v>0.13070000000000001</v>
      </c>
      <c r="L81" s="85">
        <v>-2168685.02</v>
      </c>
      <c r="M81" s="84">
        <v>-0.40379999999999999</v>
      </c>
    </row>
    <row r="82" spans="2:13" x14ac:dyDescent="0.25">
      <c r="B82">
        <v>2023</v>
      </c>
      <c r="C82" s="83">
        <v>3624749.87</v>
      </c>
      <c r="D82" s="83">
        <v>795691.85</v>
      </c>
      <c r="E82" s="84">
        <v>0.28129999999999999</v>
      </c>
      <c r="F82" s="84">
        <v>0.26179999999999998</v>
      </c>
      <c r="I82" t="s">
        <v>329</v>
      </c>
      <c r="J82">
        <v>62</v>
      </c>
      <c r="K82" s="88">
        <v>0.1095</v>
      </c>
      <c r="L82" s="85">
        <v>-1560924.68</v>
      </c>
      <c r="M82" s="84">
        <v>-0.29060000000000002</v>
      </c>
    </row>
    <row r="83" spans="2:13" x14ac:dyDescent="0.25">
      <c r="B83">
        <v>2024</v>
      </c>
      <c r="C83" s="83">
        <v>3734478.97</v>
      </c>
      <c r="D83" s="83">
        <v>109729.1</v>
      </c>
      <c r="E83" s="84">
        <v>3.0300000000000001E-2</v>
      </c>
      <c r="F83" s="84">
        <v>0.24890000000000001</v>
      </c>
      <c r="I83" t="s">
        <v>330</v>
      </c>
      <c r="J83">
        <v>382</v>
      </c>
      <c r="K83" s="88">
        <v>0.67490000000000006</v>
      </c>
      <c r="L83" s="85">
        <v>7216400.5800000001</v>
      </c>
      <c r="M83" s="84">
        <v>1.3435999999999999</v>
      </c>
    </row>
    <row r="84" spans="2:13" x14ac:dyDescent="0.25">
      <c r="B84">
        <v>2025</v>
      </c>
      <c r="C84" s="83">
        <v>5112767.16</v>
      </c>
      <c r="D84" s="83">
        <v>1378288.19</v>
      </c>
      <c r="E84" s="84">
        <v>0.36909999999999998</v>
      </c>
      <c r="F84" s="84">
        <v>0.17399999999999999</v>
      </c>
      <c r="I84" t="s">
        <v>323</v>
      </c>
      <c r="J84" t="s">
        <v>39</v>
      </c>
      <c r="K84" t="s">
        <v>324</v>
      </c>
      <c r="L84" t="s">
        <v>325</v>
      </c>
      <c r="M84" t="s">
        <v>243</v>
      </c>
    </row>
    <row r="85" spans="2:13" x14ac:dyDescent="0.25">
      <c r="D85" s="83">
        <f>SUM(D79:D84)</f>
        <v>4112767.16</v>
      </c>
      <c r="I85" t="s">
        <v>331</v>
      </c>
      <c r="J85">
        <v>566</v>
      </c>
      <c r="K85" s="84">
        <v>1</v>
      </c>
      <c r="L85" s="83">
        <v>-3103329.24</v>
      </c>
      <c r="M85" t="s">
        <v>334</v>
      </c>
    </row>
    <row r="86" spans="2:13" x14ac:dyDescent="0.25">
      <c r="I86" t="s">
        <v>332</v>
      </c>
      <c r="J86" t="s">
        <v>325</v>
      </c>
      <c r="K86" t="s">
        <v>17</v>
      </c>
      <c r="L86" t="s">
        <v>325</v>
      </c>
      <c r="M86" t="s">
        <v>243</v>
      </c>
    </row>
    <row r="87" spans="2:13" x14ac:dyDescent="0.25">
      <c r="I87" t="s">
        <v>333</v>
      </c>
      <c r="J87">
        <v>566</v>
      </c>
      <c r="K87" t="s">
        <v>334</v>
      </c>
      <c r="L87" t="s">
        <v>334</v>
      </c>
      <c r="M87" t="s">
        <v>334</v>
      </c>
    </row>
    <row r="89" spans="2:13" x14ac:dyDescent="0.25">
      <c r="J89" s="89">
        <f t="shared" ref="J89" si="0">SUM(J79:J83)</f>
        <v>566</v>
      </c>
      <c r="K89" s="87">
        <f>SUM(K79:K83)</f>
        <v>0.99990000000000001</v>
      </c>
      <c r="L89" s="86">
        <f>SUM(L79:L83)</f>
        <v>4113071.34</v>
      </c>
    </row>
    <row r="91" spans="2:13" x14ac:dyDescent="0.25">
      <c r="K91" s="90">
        <f>L89-D85</f>
        <v>304.17999999970198</v>
      </c>
      <c r="L91">
        <f>0.67</f>
        <v>0.67</v>
      </c>
      <c r="M91" s="91">
        <f>K91/L91</f>
        <v>453.99999999955514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C4CA-F224-4EEF-90A4-84F83101B946}">
  <dimension ref="A1:F117"/>
  <sheetViews>
    <sheetView topLeftCell="A86" workbookViewId="0">
      <selection activeCell="E115" sqref="E115"/>
    </sheetView>
  </sheetViews>
  <sheetFormatPr defaultRowHeight="15" x14ac:dyDescent="0.25"/>
  <cols>
    <col min="1" max="6" width="33.42578125" customWidth="1"/>
    <col min="7" max="7" width="9.140625" customWidth="1"/>
  </cols>
  <sheetData>
    <row r="1" spans="1:5" x14ac:dyDescent="0.25">
      <c r="A1" t="s">
        <v>340</v>
      </c>
    </row>
    <row r="2" spans="1:5" x14ac:dyDescent="0.25">
      <c r="A2" t="s">
        <v>341</v>
      </c>
    </row>
    <row r="3" spans="1:5" x14ac:dyDescent="0.25">
      <c r="A3" t="s">
        <v>342</v>
      </c>
    </row>
    <row r="4" spans="1:5" x14ac:dyDescent="0.25">
      <c r="A4" t="s">
        <v>343</v>
      </c>
    </row>
    <row r="6" spans="1:5" x14ac:dyDescent="0.25">
      <c r="A6" t="s">
        <v>344</v>
      </c>
    </row>
    <row r="7" spans="1:5" x14ac:dyDescent="0.25">
      <c r="A7" t="s">
        <v>345</v>
      </c>
    </row>
    <row r="10" spans="1:5" x14ac:dyDescent="0.25">
      <c r="B10" t="s">
        <v>351</v>
      </c>
      <c r="C10" t="s">
        <v>352</v>
      </c>
      <c r="D10" t="s">
        <v>353</v>
      </c>
      <c r="E10" t="s">
        <v>354</v>
      </c>
    </row>
    <row r="11" spans="1:5" x14ac:dyDescent="0.25">
      <c r="B11" t="s">
        <v>348</v>
      </c>
      <c r="C11" t="s">
        <v>325</v>
      </c>
      <c r="D11" t="s">
        <v>18</v>
      </c>
      <c r="E11" t="s">
        <v>241</v>
      </c>
    </row>
    <row r="12" spans="1:5" x14ac:dyDescent="0.25">
      <c r="B12" t="s">
        <v>355</v>
      </c>
      <c r="C12" s="84">
        <v>4.1128</v>
      </c>
      <c r="D12" s="84">
        <v>1.2844</v>
      </c>
      <c r="E12" t="s">
        <v>356</v>
      </c>
    </row>
    <row r="13" spans="1:5" x14ac:dyDescent="0.25">
      <c r="B13" t="s">
        <v>349</v>
      </c>
      <c r="C13" s="84">
        <v>0.3231</v>
      </c>
      <c r="D13" s="84">
        <v>0.15229999999999999</v>
      </c>
      <c r="E13" t="s">
        <v>357</v>
      </c>
    </row>
    <row r="16" spans="1:5" x14ac:dyDescent="0.25">
      <c r="A16" t="s">
        <v>233</v>
      </c>
      <c r="D16" s="83">
        <f>SUM(D19:D88)</f>
        <v>4112767.16</v>
      </c>
    </row>
    <row r="17" spans="2:6" x14ac:dyDescent="0.25">
      <c r="B17" t="s">
        <v>358</v>
      </c>
      <c r="C17" t="s">
        <v>359</v>
      </c>
      <c r="D17" t="s">
        <v>360</v>
      </c>
      <c r="E17" t="s">
        <v>361</v>
      </c>
      <c r="F17" t="s">
        <v>239</v>
      </c>
    </row>
    <row r="18" spans="2:6" x14ac:dyDescent="0.25">
      <c r="B18" t="s">
        <v>240</v>
      </c>
      <c r="C18" t="s">
        <v>241</v>
      </c>
      <c r="D18" t="s">
        <v>39</v>
      </c>
      <c r="E18" t="s">
        <v>242</v>
      </c>
      <c r="F18" t="s">
        <v>243</v>
      </c>
    </row>
    <row r="19" spans="2:6" x14ac:dyDescent="0.25">
      <c r="B19" t="s">
        <v>244</v>
      </c>
      <c r="C19" s="83">
        <v>1000000</v>
      </c>
      <c r="D19" s="83">
        <v>0</v>
      </c>
      <c r="E19" s="84">
        <v>0</v>
      </c>
      <c r="F19" s="84">
        <v>-9.7000000000000003E-3</v>
      </c>
    </row>
    <row r="20" spans="2:6" x14ac:dyDescent="0.25">
      <c r="B20" t="s">
        <v>245</v>
      </c>
      <c r="C20" s="83">
        <v>1000000</v>
      </c>
      <c r="D20" s="83">
        <v>0</v>
      </c>
      <c r="E20" s="84">
        <v>0</v>
      </c>
      <c r="F20" s="84">
        <v>-7.9200000000000007E-2</v>
      </c>
    </row>
    <row r="21" spans="2:6" x14ac:dyDescent="0.25">
      <c r="B21" t="s">
        <v>246</v>
      </c>
      <c r="C21" s="83">
        <v>993822.91</v>
      </c>
      <c r="D21" s="83">
        <v>-6177.09</v>
      </c>
      <c r="E21" s="84">
        <v>-6.1999999999999998E-3</v>
      </c>
      <c r="F21" s="84">
        <v>-0.1249</v>
      </c>
    </row>
    <row r="22" spans="2:6" x14ac:dyDescent="0.25">
      <c r="B22" t="s">
        <v>247</v>
      </c>
      <c r="C22" s="83">
        <v>1052313.22</v>
      </c>
      <c r="D22" s="83">
        <v>58490.31</v>
      </c>
      <c r="E22" s="84">
        <v>5.8900000000000001E-2</v>
      </c>
      <c r="F22" s="84">
        <v>0.127</v>
      </c>
    </row>
    <row r="23" spans="2:6" x14ac:dyDescent="0.25">
      <c r="B23" t="s">
        <v>248</v>
      </c>
      <c r="C23" s="83">
        <v>1116219.75</v>
      </c>
      <c r="D23" s="83">
        <v>63906.53</v>
      </c>
      <c r="E23" s="84">
        <v>6.0699999999999997E-2</v>
      </c>
      <c r="F23" s="84">
        <v>4.7600000000000003E-2</v>
      </c>
    </row>
    <row r="24" spans="2:6" x14ac:dyDescent="0.25">
      <c r="B24" t="s">
        <v>249</v>
      </c>
      <c r="C24" s="83">
        <v>1266351.3600000001</v>
      </c>
      <c r="D24" s="83">
        <v>150131.60999999999</v>
      </c>
      <c r="E24" s="84">
        <v>0.13450000000000001</v>
      </c>
      <c r="F24" s="84">
        <v>1.77E-2</v>
      </c>
    </row>
    <row r="25" spans="2:6" x14ac:dyDescent="0.25">
      <c r="B25" t="s">
        <v>250</v>
      </c>
      <c r="C25" s="83">
        <v>1419804.43</v>
      </c>
      <c r="D25" s="83">
        <v>153453.07</v>
      </c>
      <c r="E25" s="84">
        <v>0.1212</v>
      </c>
      <c r="F25" s="84">
        <v>5.8900000000000001E-2</v>
      </c>
    </row>
    <row r="26" spans="2:6" x14ac:dyDescent="0.25">
      <c r="B26" t="s">
        <v>251</v>
      </c>
      <c r="C26" s="83">
        <v>1446605</v>
      </c>
      <c r="D26" s="83">
        <v>26800.57</v>
      </c>
      <c r="E26" s="84">
        <v>1.89E-2</v>
      </c>
      <c r="F26" s="84">
        <v>6.9800000000000001E-2</v>
      </c>
    </row>
    <row r="27" spans="2:6" x14ac:dyDescent="0.25">
      <c r="B27" t="s">
        <v>252</v>
      </c>
      <c r="C27" s="83">
        <v>1461672.13</v>
      </c>
      <c r="D27" s="83">
        <v>15067.13</v>
      </c>
      <c r="E27" s="84">
        <v>1.04E-2</v>
      </c>
      <c r="F27" s="84">
        <v>-3.7400000000000003E-2</v>
      </c>
    </row>
    <row r="28" spans="2:6" x14ac:dyDescent="0.25">
      <c r="B28" t="s">
        <v>253</v>
      </c>
      <c r="C28" s="83">
        <v>1399033.16</v>
      </c>
      <c r="D28" s="83">
        <v>-62638.97</v>
      </c>
      <c r="E28" s="84">
        <v>-4.2900000000000001E-2</v>
      </c>
      <c r="F28" s="84">
        <v>-2.4899999999999999E-2</v>
      </c>
    </row>
    <row r="29" spans="2:6" x14ac:dyDescent="0.25">
      <c r="B29" t="s">
        <v>254</v>
      </c>
      <c r="C29" s="83">
        <v>1664710.94</v>
      </c>
      <c r="D29" s="83">
        <v>265677.78000000003</v>
      </c>
      <c r="E29" s="84">
        <v>0.18990000000000001</v>
      </c>
      <c r="F29" s="84">
        <v>0.10879999999999999</v>
      </c>
    </row>
    <row r="30" spans="2:6" x14ac:dyDescent="0.25">
      <c r="B30" t="s">
        <v>255</v>
      </c>
      <c r="C30" s="83">
        <v>1756005.68</v>
      </c>
      <c r="D30" s="83">
        <v>91294.74</v>
      </c>
      <c r="E30" s="84">
        <v>5.4800000000000001E-2</v>
      </c>
      <c r="F30" s="84">
        <v>3.6999999999999998E-2</v>
      </c>
    </row>
    <row r="31" spans="2:6" x14ac:dyDescent="0.25">
      <c r="B31" t="s">
        <v>256</v>
      </c>
      <c r="C31" s="83">
        <v>1739725.13</v>
      </c>
      <c r="D31" s="83">
        <v>-16280.55</v>
      </c>
      <c r="E31" s="84">
        <v>-9.2999999999999992E-3</v>
      </c>
      <c r="F31" s="84">
        <v>-1.0200000000000001E-2</v>
      </c>
    </row>
    <row r="32" spans="2:6" x14ac:dyDescent="0.25">
      <c r="B32" t="s">
        <v>257</v>
      </c>
      <c r="C32" s="83">
        <v>1937856.43</v>
      </c>
      <c r="D32" s="83">
        <v>198131.3</v>
      </c>
      <c r="E32" s="84">
        <v>0.1139</v>
      </c>
      <c r="F32" s="84">
        <v>2.7799999999999998E-2</v>
      </c>
    </row>
    <row r="33" spans="2:6" x14ac:dyDescent="0.25">
      <c r="B33" t="s">
        <v>258</v>
      </c>
      <c r="C33" s="83">
        <v>2122843.8199999998</v>
      </c>
      <c r="D33" s="83">
        <v>184987.39</v>
      </c>
      <c r="E33" s="84">
        <v>9.5500000000000002E-2</v>
      </c>
      <c r="F33" s="84">
        <v>4.5400000000000003E-2</v>
      </c>
    </row>
    <row r="34" spans="2:6" x14ac:dyDescent="0.25">
      <c r="B34" t="s">
        <v>259</v>
      </c>
      <c r="C34" s="83">
        <v>2128020.36</v>
      </c>
      <c r="D34" s="83">
        <v>5176.54</v>
      </c>
      <c r="E34" s="84">
        <v>2.3999999999999998E-3</v>
      </c>
      <c r="F34" s="84">
        <v>5.2900000000000003E-2</v>
      </c>
    </row>
    <row r="35" spans="2:6" x14ac:dyDescent="0.25">
      <c r="B35" t="s">
        <v>260</v>
      </c>
      <c r="C35" s="83">
        <v>1871562.54</v>
      </c>
      <c r="D35" s="83">
        <v>-256457.82</v>
      </c>
      <c r="E35" s="84">
        <v>-0.1205</v>
      </c>
      <c r="F35" s="84">
        <v>6.6E-3</v>
      </c>
    </row>
    <row r="36" spans="2:6" x14ac:dyDescent="0.25">
      <c r="B36" t="s">
        <v>261</v>
      </c>
      <c r="C36" s="83">
        <v>2052297.68</v>
      </c>
      <c r="D36" s="83">
        <v>180735.14</v>
      </c>
      <c r="E36" s="84">
        <v>9.6600000000000005E-2</v>
      </c>
      <c r="F36" s="84">
        <v>2.24E-2</v>
      </c>
    </row>
    <row r="37" spans="2:6" x14ac:dyDescent="0.25">
      <c r="B37" t="s">
        <v>262</v>
      </c>
      <c r="C37" s="83">
        <v>2038899.55</v>
      </c>
      <c r="D37" s="83">
        <v>-13398.13</v>
      </c>
      <c r="E37" s="84">
        <v>-6.4999999999999997E-3</v>
      </c>
      <c r="F37" s="84">
        <v>2.4400000000000002E-2</v>
      </c>
    </row>
    <row r="38" spans="2:6" x14ac:dyDescent="0.25">
      <c r="B38" t="s">
        <v>263</v>
      </c>
      <c r="C38" s="83">
        <v>2089313.97</v>
      </c>
      <c r="D38" s="83">
        <v>50414.42</v>
      </c>
      <c r="E38" s="84">
        <v>2.47E-2</v>
      </c>
      <c r="F38" s="84">
        <v>2.98E-2</v>
      </c>
    </row>
    <row r="39" spans="2:6" x14ac:dyDescent="0.25">
      <c r="B39" t="s">
        <v>264</v>
      </c>
      <c r="C39" s="83">
        <v>1973869.73</v>
      </c>
      <c r="D39" s="83">
        <v>-115444.24</v>
      </c>
      <c r="E39" s="84">
        <v>-5.5300000000000002E-2</v>
      </c>
      <c r="F39" s="84">
        <v>-4.6600000000000003E-2</v>
      </c>
    </row>
    <row r="40" spans="2:6" x14ac:dyDescent="0.25">
      <c r="B40" t="s">
        <v>265</v>
      </c>
      <c r="C40" s="83">
        <v>2546459.4900000002</v>
      </c>
      <c r="D40" s="83">
        <v>572589.76</v>
      </c>
      <c r="E40" s="84">
        <v>0.29010000000000002</v>
      </c>
      <c r="F40" s="84">
        <v>7.0199999999999999E-2</v>
      </c>
    </row>
    <row r="41" spans="2:6" x14ac:dyDescent="0.25">
      <c r="B41" t="s">
        <v>266</v>
      </c>
      <c r="C41" s="83">
        <v>2583816.6</v>
      </c>
      <c r="D41" s="83">
        <v>37357.11</v>
      </c>
      <c r="E41" s="84">
        <v>1.47E-2</v>
      </c>
      <c r="F41" s="84">
        <v>-8.0000000000000002E-3</v>
      </c>
    </row>
    <row r="42" spans="2:6" x14ac:dyDescent="0.25">
      <c r="B42" t="s">
        <v>267</v>
      </c>
      <c r="C42" s="83">
        <v>2801376.05</v>
      </c>
      <c r="D42" s="83">
        <v>217559.45</v>
      </c>
      <c r="E42" s="84">
        <v>8.4199999999999997E-2</v>
      </c>
      <c r="F42" s="84">
        <v>4.6199999999999998E-2</v>
      </c>
    </row>
    <row r="43" spans="2:6" x14ac:dyDescent="0.25">
      <c r="B43" t="s">
        <v>268</v>
      </c>
      <c r="C43" s="83">
        <v>2395184</v>
      </c>
      <c r="D43" s="83">
        <v>-406192.05</v>
      </c>
      <c r="E43" s="84">
        <v>-0.14499999999999999</v>
      </c>
      <c r="F43" s="84">
        <v>-5.2699999999999997E-2</v>
      </c>
    </row>
    <row r="44" spans="2:6" x14ac:dyDescent="0.25">
      <c r="B44" t="s">
        <v>269</v>
      </c>
      <c r="C44" s="83">
        <v>2321194.56</v>
      </c>
      <c r="D44" s="83">
        <v>-73989.440000000002</v>
      </c>
      <c r="E44" s="84">
        <v>-3.09E-2</v>
      </c>
      <c r="F44" s="84">
        <v>-2.9499999999999998E-2</v>
      </c>
    </row>
    <row r="45" spans="2:6" x14ac:dyDescent="0.25">
      <c r="B45" t="s">
        <v>270</v>
      </c>
      <c r="C45" s="83">
        <v>2259205.54</v>
      </c>
      <c r="D45" s="83">
        <v>-61989.02</v>
      </c>
      <c r="E45" s="84">
        <v>-2.6700000000000002E-2</v>
      </c>
      <c r="F45" s="84">
        <v>3.7600000000000001E-2</v>
      </c>
    </row>
    <row r="46" spans="2:6" x14ac:dyDescent="0.25">
      <c r="B46" t="s">
        <v>271</v>
      </c>
      <c r="C46" s="83">
        <v>2068669.48</v>
      </c>
      <c r="D46" s="83">
        <v>-190536.06</v>
      </c>
      <c r="E46" s="84">
        <v>-8.43E-2</v>
      </c>
      <c r="F46" s="84">
        <v>-8.7800000000000003E-2</v>
      </c>
    </row>
    <row r="47" spans="2:6" x14ac:dyDescent="0.25">
      <c r="B47" t="s">
        <v>272</v>
      </c>
      <c r="C47" s="83">
        <v>2263364.7999999998</v>
      </c>
      <c r="D47" s="83">
        <v>194695.32</v>
      </c>
      <c r="E47" s="84">
        <v>9.4100000000000003E-2</v>
      </c>
      <c r="F47" s="84">
        <v>2.3E-3</v>
      </c>
    </row>
    <row r="48" spans="2:6" x14ac:dyDescent="0.25">
      <c r="B48" t="s">
        <v>273</v>
      </c>
      <c r="C48" s="83">
        <v>1986542.18</v>
      </c>
      <c r="D48" s="83">
        <v>-276822.62</v>
      </c>
      <c r="E48" s="84">
        <v>-0.12230000000000001</v>
      </c>
      <c r="F48" s="84">
        <v>-8.2500000000000004E-2</v>
      </c>
    </row>
    <row r="49" spans="2:6" x14ac:dyDescent="0.25">
      <c r="B49" t="s">
        <v>274</v>
      </c>
      <c r="C49" s="83">
        <v>2277710.64</v>
      </c>
      <c r="D49" s="83">
        <v>291168.46000000002</v>
      </c>
      <c r="E49" s="84">
        <v>0.14660000000000001</v>
      </c>
      <c r="F49" s="84">
        <v>9.2100000000000001E-2</v>
      </c>
    </row>
    <row r="50" spans="2:6" x14ac:dyDescent="0.25">
      <c r="B50" t="s">
        <v>275</v>
      </c>
      <c r="C50" s="83">
        <v>2482676.27</v>
      </c>
      <c r="D50" s="83">
        <v>204965.63</v>
      </c>
      <c r="E50" s="84">
        <v>0.09</v>
      </c>
      <c r="F50" s="84">
        <v>-4.0800000000000003E-2</v>
      </c>
    </row>
    <row r="51" spans="2:6" x14ac:dyDescent="0.25">
      <c r="B51" t="s">
        <v>276</v>
      </c>
      <c r="C51" s="83">
        <v>2403378.7400000002</v>
      </c>
      <c r="D51" s="83">
        <v>-79297.53</v>
      </c>
      <c r="E51" s="84">
        <v>-3.1899999999999998E-2</v>
      </c>
      <c r="F51" s="84">
        <v>-9.2399999999999996E-2</v>
      </c>
    </row>
    <row r="52" spans="2:6" x14ac:dyDescent="0.25">
      <c r="B52" t="s">
        <v>277</v>
      </c>
      <c r="C52" s="83">
        <v>2685479.35</v>
      </c>
      <c r="D52" s="83">
        <v>282100.61</v>
      </c>
      <c r="E52" s="84">
        <v>0.1174</v>
      </c>
      <c r="F52" s="84">
        <v>8.1299999999999997E-2</v>
      </c>
    </row>
    <row r="53" spans="2:6" x14ac:dyDescent="0.25">
      <c r="B53" t="s">
        <v>278</v>
      </c>
      <c r="C53" s="83">
        <v>3093304.71</v>
      </c>
      <c r="D53" s="83">
        <v>407825.36</v>
      </c>
      <c r="E53" s="84">
        <v>0.15190000000000001</v>
      </c>
      <c r="F53" s="84">
        <v>5.5599999999999997E-2</v>
      </c>
    </row>
    <row r="54" spans="2:6" x14ac:dyDescent="0.25">
      <c r="B54" t="s">
        <v>279</v>
      </c>
      <c r="C54" s="83">
        <v>2829058.02</v>
      </c>
      <c r="D54" s="83">
        <v>-264246.69</v>
      </c>
      <c r="E54" s="84">
        <v>-8.5400000000000004E-2</v>
      </c>
      <c r="F54" s="84">
        <v>-5.7599999999999998E-2</v>
      </c>
    </row>
    <row r="55" spans="2:6" x14ac:dyDescent="0.25">
      <c r="B55" t="s">
        <v>280</v>
      </c>
      <c r="C55" s="83">
        <v>3112177.08</v>
      </c>
      <c r="D55" s="83">
        <v>283119.06</v>
      </c>
      <c r="E55" s="84">
        <v>0.10009999999999999</v>
      </c>
      <c r="F55" s="84">
        <v>6.2899999999999998E-2</v>
      </c>
    </row>
    <row r="56" spans="2:6" x14ac:dyDescent="0.25">
      <c r="B56" t="s">
        <v>281</v>
      </c>
      <c r="C56" s="83">
        <v>3019952.05</v>
      </c>
      <c r="D56" s="83">
        <v>-92225.03</v>
      </c>
      <c r="E56" s="84">
        <v>-2.9600000000000001E-2</v>
      </c>
      <c r="F56" s="84">
        <v>-2.5100000000000001E-2</v>
      </c>
    </row>
    <row r="57" spans="2:6" x14ac:dyDescent="0.25">
      <c r="B57" t="s">
        <v>282</v>
      </c>
      <c r="C57" s="83">
        <v>3084425.21</v>
      </c>
      <c r="D57" s="83">
        <v>64473.16</v>
      </c>
      <c r="E57" s="84">
        <v>2.1299999999999999E-2</v>
      </c>
      <c r="F57" s="84">
        <v>3.7100000000000001E-2</v>
      </c>
    </row>
    <row r="58" spans="2:6" x14ac:dyDescent="0.25">
      <c r="B58" t="s">
        <v>283</v>
      </c>
      <c r="C58" s="83">
        <v>3066536.05</v>
      </c>
      <c r="D58" s="83">
        <v>-17889.16</v>
      </c>
      <c r="E58" s="84">
        <v>-5.7999999999999996E-3</v>
      </c>
      <c r="F58" s="84">
        <v>1.6E-2</v>
      </c>
    </row>
    <row r="59" spans="2:6" x14ac:dyDescent="0.25">
      <c r="B59" t="s">
        <v>284</v>
      </c>
      <c r="C59" s="83">
        <v>3166909.6</v>
      </c>
      <c r="D59" s="83">
        <v>100373.55</v>
      </c>
      <c r="E59" s="84">
        <v>3.27E-2</v>
      </c>
      <c r="F59" s="84">
        <v>4.5999999999999999E-3</v>
      </c>
    </row>
    <row r="60" spans="2:6" x14ac:dyDescent="0.25">
      <c r="B60" t="s">
        <v>285</v>
      </c>
      <c r="C60" s="83">
        <v>3491503.24</v>
      </c>
      <c r="D60" s="83">
        <v>324593.64</v>
      </c>
      <c r="E60" s="84">
        <v>0.10249999999999999</v>
      </c>
      <c r="F60" s="84">
        <v>6.4799999999999996E-2</v>
      </c>
    </row>
    <row r="61" spans="2:6" x14ac:dyDescent="0.25">
      <c r="B61" t="s">
        <v>286</v>
      </c>
      <c r="C61" s="83">
        <v>3521918.6</v>
      </c>
      <c r="D61" s="83">
        <v>30415.360000000001</v>
      </c>
      <c r="E61" s="84">
        <v>8.6999999999999994E-3</v>
      </c>
      <c r="F61" s="84">
        <v>3.27E-2</v>
      </c>
    </row>
    <row r="62" spans="2:6" x14ac:dyDescent="0.25">
      <c r="B62" t="s">
        <v>287</v>
      </c>
      <c r="C62" s="83">
        <v>3538673.93</v>
      </c>
      <c r="D62" s="83">
        <v>16755.330000000002</v>
      </c>
      <c r="E62" s="84">
        <v>4.7999999999999996E-3</v>
      </c>
      <c r="F62" s="84">
        <v>-1.6299999999999999E-2</v>
      </c>
    </row>
    <row r="63" spans="2:6" x14ac:dyDescent="0.25">
      <c r="B63" t="s">
        <v>288</v>
      </c>
      <c r="C63" s="83">
        <v>3486785.08</v>
      </c>
      <c r="D63" s="83">
        <v>-51888.85</v>
      </c>
      <c r="E63" s="84">
        <v>-1.47E-2</v>
      </c>
      <c r="F63" s="84">
        <v>-4.7399999999999998E-2</v>
      </c>
    </row>
    <row r="64" spans="2:6" x14ac:dyDescent="0.25">
      <c r="B64" t="s">
        <v>289</v>
      </c>
      <c r="C64" s="83">
        <v>3260404.44</v>
      </c>
      <c r="D64" s="83">
        <v>-226380.64</v>
      </c>
      <c r="E64" s="84">
        <v>-6.4899999999999999E-2</v>
      </c>
      <c r="F64" s="84">
        <v>-2.1700000000000001E-2</v>
      </c>
    </row>
    <row r="65" spans="2:6" x14ac:dyDescent="0.25">
      <c r="B65" t="s">
        <v>290</v>
      </c>
      <c r="C65" s="83">
        <v>3566488.2</v>
      </c>
      <c r="D65" s="83">
        <v>306083.76</v>
      </c>
      <c r="E65" s="84">
        <v>9.3899999999999997E-2</v>
      </c>
      <c r="F65" s="84">
        <v>9.1300000000000006E-2</v>
      </c>
    </row>
    <row r="66" spans="2:6" x14ac:dyDescent="0.25">
      <c r="B66" t="s">
        <v>291</v>
      </c>
      <c r="C66" s="83">
        <v>3624749.87</v>
      </c>
      <c r="D66" s="83">
        <v>58261.67</v>
      </c>
      <c r="E66" s="84">
        <v>1.6299999999999999E-2</v>
      </c>
      <c r="F66" s="84">
        <v>4.5699999999999998E-2</v>
      </c>
    </row>
    <row r="67" spans="2:6" x14ac:dyDescent="0.25">
      <c r="B67" t="s">
        <v>292</v>
      </c>
      <c r="C67" s="83">
        <v>3463924.58</v>
      </c>
      <c r="D67" s="83">
        <v>-160825.29</v>
      </c>
      <c r="E67" s="84">
        <v>-4.4400000000000002E-2</v>
      </c>
      <c r="F67" s="84">
        <v>1.5900000000000001E-2</v>
      </c>
    </row>
    <row r="68" spans="2:6" x14ac:dyDescent="0.25">
      <c r="B68" t="s">
        <v>293</v>
      </c>
      <c r="C68" s="83">
        <v>3463924.58</v>
      </c>
      <c r="D68" s="83">
        <v>0</v>
      </c>
      <c r="E68" s="84">
        <v>0</v>
      </c>
      <c r="F68" s="84">
        <v>5.2200000000000003E-2</v>
      </c>
    </row>
    <row r="69" spans="2:6" x14ac:dyDescent="0.25">
      <c r="B69" t="s">
        <v>294</v>
      </c>
      <c r="C69" s="83">
        <v>3463924.58</v>
      </c>
      <c r="D69" s="83">
        <v>0</v>
      </c>
      <c r="E69" s="84">
        <v>0</v>
      </c>
      <c r="F69" s="84">
        <v>3.27E-2</v>
      </c>
    </row>
    <row r="70" spans="2:6" x14ac:dyDescent="0.25">
      <c r="B70" t="s">
        <v>295</v>
      </c>
      <c r="C70" s="83">
        <v>3468566.92</v>
      </c>
      <c r="D70" s="83">
        <v>4642.34</v>
      </c>
      <c r="E70" s="84">
        <v>1.2999999999999999E-3</v>
      </c>
      <c r="F70" s="84">
        <v>-4.0300000000000002E-2</v>
      </c>
    </row>
    <row r="71" spans="2:6" x14ac:dyDescent="0.25">
      <c r="B71" t="s">
        <v>296</v>
      </c>
      <c r="C71" s="83">
        <v>3689807</v>
      </c>
      <c r="D71" s="83">
        <v>221240.08</v>
      </c>
      <c r="E71" s="84">
        <v>6.3799999999999996E-2</v>
      </c>
      <c r="F71" s="84">
        <v>5.0599999999999999E-2</v>
      </c>
    </row>
    <row r="72" spans="2:6" x14ac:dyDescent="0.25">
      <c r="B72" t="s">
        <v>297</v>
      </c>
      <c r="C72" s="83">
        <v>3535489.34</v>
      </c>
      <c r="D72" s="83">
        <v>-154317.66</v>
      </c>
      <c r="E72" s="84">
        <v>-4.1799999999999997E-2</v>
      </c>
      <c r="F72" s="84">
        <v>3.5299999999999998E-2</v>
      </c>
    </row>
    <row r="73" spans="2:6" x14ac:dyDescent="0.25">
      <c r="B73" t="s">
        <v>298</v>
      </c>
      <c r="C73" s="83">
        <v>3429911.92</v>
      </c>
      <c r="D73" s="83">
        <v>-105577.42</v>
      </c>
      <c r="E73" s="84">
        <v>-2.9899999999999999E-2</v>
      </c>
      <c r="F73" s="84">
        <v>1.21E-2</v>
      </c>
    </row>
    <row r="74" spans="2:6" x14ac:dyDescent="0.25">
      <c r="B74" t="s">
        <v>299</v>
      </c>
      <c r="C74" s="83">
        <v>3436469.38</v>
      </c>
      <c r="D74" s="83">
        <v>6557.46</v>
      </c>
      <c r="E74" s="84">
        <v>1.9E-3</v>
      </c>
      <c r="F74" s="84">
        <v>2.3400000000000001E-2</v>
      </c>
    </row>
    <row r="75" spans="2:6" x14ac:dyDescent="0.25">
      <c r="B75" t="s">
        <v>300</v>
      </c>
      <c r="C75" s="83">
        <v>3584440.65</v>
      </c>
      <c r="D75" s="83">
        <v>147971.26999999999</v>
      </c>
      <c r="E75" s="84">
        <v>4.3099999999999999E-2</v>
      </c>
      <c r="F75" s="84">
        <v>2.1000000000000001E-2</v>
      </c>
    </row>
    <row r="76" spans="2:6" x14ac:dyDescent="0.25">
      <c r="B76" t="s">
        <v>301</v>
      </c>
      <c r="C76" s="83">
        <v>3477121.42</v>
      </c>
      <c r="D76" s="83">
        <v>-107319.23</v>
      </c>
      <c r="E76" s="84">
        <v>-2.9899999999999999E-2</v>
      </c>
      <c r="F76" s="84">
        <v>-8.8999999999999999E-3</v>
      </c>
    </row>
    <row r="77" spans="2:6" x14ac:dyDescent="0.25">
      <c r="B77" t="s">
        <v>302</v>
      </c>
      <c r="C77" s="83">
        <v>3763622.12</v>
      </c>
      <c r="D77" s="83">
        <v>286500.7</v>
      </c>
      <c r="E77" s="84">
        <v>8.2400000000000001E-2</v>
      </c>
      <c r="F77" s="84">
        <v>5.96E-2</v>
      </c>
    </row>
    <row r="78" spans="2:6" x14ac:dyDescent="0.25">
      <c r="B78" t="s">
        <v>303</v>
      </c>
      <c r="C78" s="83">
        <v>3734478.97</v>
      </c>
      <c r="D78" s="83">
        <v>-29143.15</v>
      </c>
      <c r="E78" s="84">
        <v>-7.7000000000000002E-3</v>
      </c>
      <c r="F78" s="84">
        <v>-2.41E-2</v>
      </c>
    </row>
    <row r="79" spans="2:6" x14ac:dyDescent="0.25">
      <c r="B79" t="s">
        <v>304</v>
      </c>
      <c r="C79" s="83">
        <v>3609756.38</v>
      </c>
      <c r="D79" s="83">
        <v>-124722.59</v>
      </c>
      <c r="E79" s="84">
        <v>-3.3399999999999999E-2</v>
      </c>
      <c r="F79" s="84">
        <v>2.69E-2</v>
      </c>
    </row>
    <row r="80" spans="2:6" x14ac:dyDescent="0.25">
      <c r="B80" t="s">
        <v>305</v>
      </c>
      <c r="C80" s="83">
        <v>3559220.19</v>
      </c>
      <c r="D80" s="83">
        <v>-50536.19</v>
      </c>
      <c r="E80" s="84">
        <v>-1.4E-2</v>
      </c>
      <c r="F80" s="84">
        <v>-1.2699999999999999E-2</v>
      </c>
    </row>
    <row r="81" spans="1:6" x14ac:dyDescent="0.25">
      <c r="B81" t="s">
        <v>306</v>
      </c>
      <c r="C81" s="83">
        <v>3037581.94</v>
      </c>
      <c r="D81" s="83">
        <v>-521638.25</v>
      </c>
      <c r="E81" s="84">
        <v>-0.14660000000000001</v>
      </c>
      <c r="F81" s="84">
        <v>-5.57E-2</v>
      </c>
    </row>
    <row r="82" spans="1:6" x14ac:dyDescent="0.25">
      <c r="B82" t="s">
        <v>307</v>
      </c>
      <c r="C82" s="83">
        <v>3468956.09</v>
      </c>
      <c r="D82" s="83">
        <v>431374.15</v>
      </c>
      <c r="E82" s="84">
        <v>0.14199999999999999</v>
      </c>
      <c r="F82" s="84">
        <v>-8.6999999999999994E-3</v>
      </c>
    </row>
    <row r="83" spans="1:6" x14ac:dyDescent="0.25">
      <c r="B83" t="s">
        <v>308</v>
      </c>
      <c r="C83" s="83">
        <v>3943852.52</v>
      </c>
      <c r="D83" s="83">
        <v>474896.43</v>
      </c>
      <c r="E83" s="84">
        <v>0.13689999999999999</v>
      </c>
      <c r="F83" s="84">
        <v>6.2799999999999995E-2</v>
      </c>
    </row>
    <row r="84" spans="1:6" x14ac:dyDescent="0.25">
      <c r="B84" t="s">
        <v>309</v>
      </c>
      <c r="C84" s="83">
        <v>4390524.24</v>
      </c>
      <c r="D84" s="83">
        <v>446671.72</v>
      </c>
      <c r="E84" s="84">
        <v>0.1133</v>
      </c>
      <c r="F84" s="84">
        <v>5.1400000000000001E-2</v>
      </c>
    </row>
    <row r="85" spans="1:6" x14ac:dyDescent="0.25">
      <c r="B85" t="s">
        <v>310</v>
      </c>
      <c r="C85" s="83">
        <v>4617529.3899999997</v>
      </c>
      <c r="D85" s="83">
        <v>227005.15</v>
      </c>
      <c r="E85" s="84">
        <v>5.1700000000000003E-2</v>
      </c>
      <c r="F85" s="84">
        <v>2.3E-2</v>
      </c>
    </row>
    <row r="86" spans="1:6" x14ac:dyDescent="0.25">
      <c r="B86" t="s">
        <v>311</v>
      </c>
      <c r="C86" s="83">
        <v>4679748.91</v>
      </c>
      <c r="D86" s="83">
        <v>62219.519999999997</v>
      </c>
      <c r="E86" s="84">
        <v>1.35E-2</v>
      </c>
      <c r="F86" s="84">
        <v>2.0500000000000001E-2</v>
      </c>
    </row>
    <row r="87" spans="1:6" x14ac:dyDescent="0.25">
      <c r="B87" t="s">
        <v>312</v>
      </c>
      <c r="C87" s="83">
        <v>5028034.0199999996</v>
      </c>
      <c r="D87" s="83">
        <v>348285.11</v>
      </c>
      <c r="E87" s="84">
        <v>7.4399999999999994E-2</v>
      </c>
      <c r="F87" s="84">
        <v>3.56E-2</v>
      </c>
    </row>
    <row r="88" spans="1:6" x14ac:dyDescent="0.25">
      <c r="B88" t="s">
        <v>313</v>
      </c>
      <c r="C88" s="83">
        <v>5112767.16</v>
      </c>
      <c r="D88" s="83">
        <v>84733.14</v>
      </c>
      <c r="E88" s="84">
        <v>1.6899999999999998E-2</v>
      </c>
      <c r="F88" s="84">
        <v>2.3800000000000002E-2</v>
      </c>
    </row>
    <row r="89" spans="1:6" x14ac:dyDescent="0.25">
      <c r="D89" s="92">
        <f>SUM(D19:D88)</f>
        <v>4112767.16</v>
      </c>
    </row>
    <row r="91" spans="1:6" x14ac:dyDescent="0.25">
      <c r="A91" t="s">
        <v>234</v>
      </c>
    </row>
    <row r="92" spans="1:6" x14ac:dyDescent="0.25">
      <c r="B92" t="s">
        <v>362</v>
      </c>
      <c r="C92" t="s">
        <v>359</v>
      </c>
      <c r="D92" t="s">
        <v>360</v>
      </c>
      <c r="E92" t="s">
        <v>363</v>
      </c>
      <c r="F92" t="s">
        <v>239</v>
      </c>
    </row>
    <row r="93" spans="1:6" x14ac:dyDescent="0.25">
      <c r="B93" t="s">
        <v>240</v>
      </c>
      <c r="C93" t="s">
        <v>241</v>
      </c>
      <c r="D93" t="s">
        <v>46</v>
      </c>
      <c r="E93" t="s">
        <v>242</v>
      </c>
      <c r="F93" t="s">
        <v>243</v>
      </c>
    </row>
    <row r="94" spans="1:6" x14ac:dyDescent="0.25">
      <c r="B94">
        <v>2020</v>
      </c>
      <c r="C94" s="83">
        <v>1756005.68</v>
      </c>
      <c r="D94" s="83">
        <v>756005.68</v>
      </c>
      <c r="E94" s="84">
        <v>0.75600000000000001</v>
      </c>
      <c r="F94" s="84">
        <v>0.1724</v>
      </c>
    </row>
    <row r="95" spans="1:6" x14ac:dyDescent="0.25">
      <c r="B95">
        <v>2021</v>
      </c>
      <c r="C95" s="83">
        <v>2801376.05</v>
      </c>
      <c r="D95" s="83">
        <v>1045370.37</v>
      </c>
      <c r="E95" s="84">
        <v>0.59530000000000005</v>
      </c>
      <c r="F95" s="84">
        <v>0.2873</v>
      </c>
    </row>
    <row r="96" spans="1:6" x14ac:dyDescent="0.25">
      <c r="B96">
        <v>2022</v>
      </c>
      <c r="C96" s="83">
        <v>2829058.02</v>
      </c>
      <c r="D96" s="83">
        <v>27681.97</v>
      </c>
      <c r="E96" s="84">
        <v>9.9000000000000008E-3</v>
      </c>
      <c r="F96" s="84">
        <v>-0.18179999999999999</v>
      </c>
    </row>
    <row r="97" spans="1:6" x14ac:dyDescent="0.25">
      <c r="B97">
        <v>2023</v>
      </c>
      <c r="C97" s="83">
        <v>3624749.87</v>
      </c>
      <c r="D97" s="83">
        <v>795691.85</v>
      </c>
      <c r="E97" s="84">
        <v>0.28129999999999999</v>
      </c>
      <c r="F97" s="84">
        <v>0.26179999999999998</v>
      </c>
    </row>
    <row r="98" spans="1:6" x14ac:dyDescent="0.25">
      <c r="B98">
        <v>2024</v>
      </c>
      <c r="C98" s="83">
        <v>3734478.97</v>
      </c>
      <c r="D98" s="83">
        <v>109729.1</v>
      </c>
      <c r="E98" s="84">
        <v>3.0300000000000001E-2</v>
      </c>
      <c r="F98" s="84">
        <v>0.24890000000000001</v>
      </c>
    </row>
    <row r="99" spans="1:6" x14ac:dyDescent="0.25">
      <c r="B99">
        <v>2025</v>
      </c>
      <c r="C99" s="83">
        <v>5112767.16</v>
      </c>
      <c r="D99" s="83">
        <v>1378288.19</v>
      </c>
      <c r="E99" s="84">
        <v>0.36909999999999998</v>
      </c>
      <c r="F99" s="84">
        <v>0.17399999999999999</v>
      </c>
    </row>
    <row r="100" spans="1:6" x14ac:dyDescent="0.25">
      <c r="D100" s="92">
        <f>SUM(D94:D99)</f>
        <v>4112767.16</v>
      </c>
    </row>
    <row r="102" spans="1:6" x14ac:dyDescent="0.25">
      <c r="A102" t="s">
        <v>346</v>
      </c>
    </row>
    <row r="103" spans="1:6" x14ac:dyDescent="0.25">
      <c r="B103" t="s">
        <v>364</v>
      </c>
      <c r="C103" t="s">
        <v>365</v>
      </c>
      <c r="D103" t="s">
        <v>366</v>
      </c>
      <c r="E103" t="s">
        <v>367</v>
      </c>
      <c r="F103" t="s">
        <v>322</v>
      </c>
    </row>
    <row r="104" spans="1:6" x14ac:dyDescent="0.25">
      <c r="B104" t="s">
        <v>323</v>
      </c>
      <c r="C104" t="s">
        <v>39</v>
      </c>
      <c r="D104" t="s">
        <v>324</v>
      </c>
      <c r="E104" t="s">
        <v>325</v>
      </c>
      <c r="F104" t="s">
        <v>243</v>
      </c>
    </row>
    <row r="105" spans="1:6" x14ac:dyDescent="0.25">
      <c r="B105" t="s">
        <v>368</v>
      </c>
      <c r="C105">
        <v>19</v>
      </c>
      <c r="D105" s="84">
        <v>3.3599999999999998E-2</v>
      </c>
      <c r="E105" s="83">
        <v>498980</v>
      </c>
      <c r="F105" s="84">
        <v>1</v>
      </c>
    </row>
    <row r="106" spans="1:6" x14ac:dyDescent="0.25">
      <c r="B106" t="s">
        <v>369</v>
      </c>
      <c r="C106">
        <v>29</v>
      </c>
      <c r="D106" s="84">
        <v>5.1200000000000002E-2</v>
      </c>
      <c r="E106" s="83">
        <v>127300.46</v>
      </c>
      <c r="F106" s="84">
        <v>0</v>
      </c>
    </row>
    <row r="107" spans="1:6" x14ac:dyDescent="0.25">
      <c r="B107" t="s">
        <v>350</v>
      </c>
      <c r="C107">
        <v>74</v>
      </c>
      <c r="D107" s="84">
        <v>0.13070000000000001</v>
      </c>
      <c r="E107" s="83">
        <v>-2168685.02</v>
      </c>
      <c r="F107" s="84">
        <v>-0.40379999999999999</v>
      </c>
    </row>
    <row r="108" spans="1:6" x14ac:dyDescent="0.25">
      <c r="B108" t="s">
        <v>370</v>
      </c>
      <c r="C108">
        <v>62</v>
      </c>
      <c r="D108" s="84">
        <v>0.1095</v>
      </c>
      <c r="E108" s="83">
        <v>-1560924.68</v>
      </c>
      <c r="F108" s="84">
        <v>-0.29060000000000002</v>
      </c>
    </row>
    <row r="109" spans="1:6" x14ac:dyDescent="0.25">
      <c r="B109" t="s">
        <v>371</v>
      </c>
      <c r="C109">
        <v>382</v>
      </c>
      <c r="D109" s="84">
        <v>0.67490000000000006</v>
      </c>
      <c r="E109" s="83">
        <v>7216400.5800000001</v>
      </c>
      <c r="F109" s="84">
        <v>0.55220000000000002</v>
      </c>
    </row>
    <row r="110" spans="1:6" x14ac:dyDescent="0.25">
      <c r="B110" t="s">
        <v>323</v>
      </c>
      <c r="C110" t="s">
        <v>39</v>
      </c>
      <c r="D110" t="s">
        <v>324</v>
      </c>
      <c r="E110" t="s">
        <v>325</v>
      </c>
      <c r="F110" t="s">
        <v>243</v>
      </c>
    </row>
    <row r="111" spans="1:6" x14ac:dyDescent="0.25">
      <c r="B111" t="s">
        <v>372</v>
      </c>
      <c r="C111">
        <v>566</v>
      </c>
      <c r="D111" s="84">
        <v>1</v>
      </c>
      <c r="E111" s="83">
        <v>4113071.34</v>
      </c>
      <c r="F111" t="s">
        <v>373</v>
      </c>
    </row>
    <row r="112" spans="1:6" x14ac:dyDescent="0.25">
      <c r="B112" t="s">
        <v>332</v>
      </c>
      <c r="C112" t="s">
        <v>325</v>
      </c>
      <c r="D112" t="s">
        <v>17</v>
      </c>
      <c r="E112" t="s">
        <v>325</v>
      </c>
      <c r="F112" t="s">
        <v>243</v>
      </c>
    </row>
    <row r="113" spans="2:6" x14ac:dyDescent="0.25">
      <c r="B113" t="s">
        <v>374</v>
      </c>
      <c r="C113">
        <v>566</v>
      </c>
      <c r="D113" t="s">
        <v>375</v>
      </c>
      <c r="E113" t="s">
        <v>375</v>
      </c>
      <c r="F113" t="s">
        <v>373</v>
      </c>
    </row>
    <row r="115" spans="2:6" x14ac:dyDescent="0.25">
      <c r="E115" s="83">
        <f>E111-D100</f>
        <v>304.17999999970198</v>
      </c>
      <c r="F115">
        <v>0.67</v>
      </c>
    </row>
    <row r="116" spans="2:6" x14ac:dyDescent="0.25">
      <c r="F116" s="93">
        <f>E115/F115</f>
        <v>453.99999999955514</v>
      </c>
    </row>
    <row r="117" spans="2:6" x14ac:dyDescent="0.25">
      <c r="F117">
        <f>F116/2</f>
        <v>226.99999999977757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0707-C28F-4844-8029-B7E6762631E6}">
  <dimension ref="A2:T572"/>
  <sheetViews>
    <sheetView topLeftCell="A47" workbookViewId="0">
      <selection activeCell="K16" sqref="K16"/>
    </sheetView>
  </sheetViews>
  <sheetFormatPr defaultRowHeight="15" x14ac:dyDescent="0.25"/>
  <cols>
    <col min="1" max="1" width="4.85546875" customWidth="1"/>
    <col min="2" max="2" width="7.85546875" customWidth="1"/>
    <col min="3" max="3" width="9.140625" customWidth="1"/>
    <col min="4" max="4" width="17.140625" customWidth="1"/>
    <col min="5" max="5" width="12.42578125" customWidth="1"/>
    <col min="6" max="6" width="8.85546875" customWidth="1"/>
    <col min="7" max="7" width="11.140625" customWidth="1"/>
    <col min="8" max="8" width="13" customWidth="1"/>
    <col min="9" max="9" width="10.7109375" customWidth="1"/>
    <col min="10" max="10" width="12.85546875" customWidth="1"/>
    <col min="11" max="11" width="26.5703125" customWidth="1"/>
    <col min="12" max="12" width="9.5703125" customWidth="1"/>
    <col min="13" max="13" width="8.85546875" customWidth="1"/>
    <col min="15" max="15" width="15.42578125" customWidth="1"/>
    <col min="16" max="16" width="12.7109375" customWidth="1"/>
    <col min="17" max="17" width="14" customWidth="1"/>
    <col min="18" max="18" width="16.5703125" customWidth="1"/>
    <col min="19" max="19" width="10.85546875" bestFit="1" customWidth="1"/>
  </cols>
  <sheetData>
    <row r="2" spans="1:20" x14ac:dyDescent="0.25">
      <c r="A2" t="s">
        <v>376</v>
      </c>
    </row>
    <row r="3" spans="1:20" x14ac:dyDescent="0.25">
      <c r="B3" t="s">
        <v>377</v>
      </c>
      <c r="C3" t="s">
        <v>378</v>
      </c>
      <c r="D3" t="s">
        <v>379</v>
      </c>
      <c r="E3" t="s">
        <v>380</v>
      </c>
      <c r="F3" t="s">
        <v>381</v>
      </c>
      <c r="G3" t="s">
        <v>382</v>
      </c>
      <c r="H3" t="s">
        <v>383</v>
      </c>
      <c r="I3" t="s">
        <v>384</v>
      </c>
      <c r="J3" t="s">
        <v>385</v>
      </c>
      <c r="K3" t="s">
        <v>386</v>
      </c>
      <c r="L3" t="s">
        <v>387</v>
      </c>
      <c r="M3" t="s">
        <v>388</v>
      </c>
      <c r="R3" s="83">
        <f>SUM(R5:R570)</f>
        <v>4112767.16</v>
      </c>
      <c r="S3" s="83">
        <f>SUM(S5:S570)</f>
        <v>304.17999999992895</v>
      </c>
    </row>
    <row r="4" spans="1:20" ht="15.75" thickBot="1" x14ac:dyDescent="0.3">
      <c r="B4" t="s">
        <v>240</v>
      </c>
      <c r="C4" t="s">
        <v>389</v>
      </c>
      <c r="D4" t="s">
        <v>390</v>
      </c>
      <c r="E4" t="s">
        <v>243</v>
      </c>
      <c r="F4" t="s">
        <v>243</v>
      </c>
      <c r="G4" t="s">
        <v>324</v>
      </c>
      <c r="H4" t="s">
        <v>243</v>
      </c>
      <c r="I4" t="s">
        <v>391</v>
      </c>
      <c r="J4" t="s">
        <v>324</v>
      </c>
      <c r="K4" t="s">
        <v>21</v>
      </c>
      <c r="L4" t="s">
        <v>243</v>
      </c>
      <c r="M4" t="s">
        <v>242</v>
      </c>
      <c r="O4" t="s">
        <v>1191</v>
      </c>
      <c r="P4" t="s">
        <v>1193</v>
      </c>
      <c r="Q4" t="s">
        <v>1195</v>
      </c>
      <c r="R4" t="s">
        <v>1192</v>
      </c>
      <c r="S4" t="s">
        <v>1196</v>
      </c>
      <c r="T4" t="s">
        <v>1194</v>
      </c>
    </row>
    <row r="5" spans="1:20" x14ac:dyDescent="0.25">
      <c r="B5" s="94">
        <v>1</v>
      </c>
      <c r="C5" s="95" t="s">
        <v>435</v>
      </c>
      <c r="D5" s="95">
        <v>22</v>
      </c>
      <c r="E5" s="95" t="s">
        <v>464</v>
      </c>
      <c r="F5" s="96">
        <v>7.4</v>
      </c>
      <c r="G5" s="96">
        <v>16280</v>
      </c>
      <c r="H5" s="95" t="s">
        <v>463</v>
      </c>
      <c r="I5" s="96">
        <v>0</v>
      </c>
      <c r="J5" s="96">
        <v>0</v>
      </c>
      <c r="K5" s="95" t="s">
        <v>465</v>
      </c>
      <c r="L5" s="95">
        <v>16280</v>
      </c>
      <c r="M5" s="97">
        <v>0.1182</v>
      </c>
      <c r="N5" s="95"/>
      <c r="O5" s="96">
        <f>G5-J5</f>
        <v>16280</v>
      </c>
      <c r="P5" s="96">
        <f>F5*D5*100 - D5*0.67</f>
        <v>16265.260000000002</v>
      </c>
      <c r="Q5" s="96">
        <f>I5*D5*100</f>
        <v>0</v>
      </c>
      <c r="R5" s="96">
        <f>P5-Q5</f>
        <v>16265.260000000002</v>
      </c>
      <c r="S5" s="96">
        <f>L5-R5</f>
        <v>14.739999999997963</v>
      </c>
      <c r="T5" s="98">
        <f>S5/D5</f>
        <v>0.66999999999990745</v>
      </c>
    </row>
    <row r="6" spans="1:20" x14ac:dyDescent="0.25">
      <c r="B6" s="99">
        <v>2</v>
      </c>
      <c r="C6" s="100" t="s">
        <v>458</v>
      </c>
      <c r="D6" s="100">
        <v>18</v>
      </c>
      <c r="E6" s="100" t="s">
        <v>544</v>
      </c>
      <c r="F6" s="101">
        <v>10.8</v>
      </c>
      <c r="G6" s="101">
        <v>19440</v>
      </c>
      <c r="H6" s="100" t="s">
        <v>545</v>
      </c>
      <c r="I6" s="101">
        <v>0</v>
      </c>
      <c r="J6" s="101">
        <v>0</v>
      </c>
      <c r="K6" s="100" t="s">
        <v>465</v>
      </c>
      <c r="L6" s="100">
        <v>19440</v>
      </c>
      <c r="M6" s="102">
        <v>0.11459999999999999</v>
      </c>
      <c r="N6" s="100"/>
      <c r="O6" s="101">
        <f t="shared" ref="O6:O69" si="0">G6-J6</f>
        <v>19440</v>
      </c>
      <c r="P6" s="101">
        <f t="shared" ref="P6:P69" si="1">F6*D6*100 - D6*0.67</f>
        <v>19427.939999999999</v>
      </c>
      <c r="Q6" s="101">
        <f t="shared" ref="Q6:Q23" si="2">I6*D6*100</f>
        <v>0</v>
      </c>
      <c r="R6" s="101">
        <f t="shared" ref="R6:R69" si="3">P6-Q6</f>
        <v>19427.939999999999</v>
      </c>
      <c r="S6" s="101">
        <f t="shared" ref="S6:S69" si="4">L6-R6</f>
        <v>12.06000000000131</v>
      </c>
      <c r="T6" s="103">
        <f t="shared" ref="T6:T69" si="5">S6/D6</f>
        <v>0.67000000000007276</v>
      </c>
    </row>
    <row r="7" spans="1:20" x14ac:dyDescent="0.25">
      <c r="B7" s="99">
        <v>3</v>
      </c>
      <c r="C7" s="100" t="s">
        <v>548</v>
      </c>
      <c r="D7" s="100">
        <v>27</v>
      </c>
      <c r="E7" s="100" t="s">
        <v>549</v>
      </c>
      <c r="F7" s="101">
        <v>7.6</v>
      </c>
      <c r="G7" s="101">
        <v>20520</v>
      </c>
      <c r="H7" s="100" t="s">
        <v>550</v>
      </c>
      <c r="I7" s="101">
        <v>0</v>
      </c>
      <c r="J7" s="101">
        <v>0</v>
      </c>
      <c r="K7" s="100" t="s">
        <v>465</v>
      </c>
      <c r="L7" s="100">
        <v>20520</v>
      </c>
      <c r="M7" s="102">
        <v>0.43680000000000002</v>
      </c>
      <c r="N7" s="100"/>
      <c r="O7" s="101">
        <f t="shared" si="0"/>
        <v>20520</v>
      </c>
      <c r="P7" s="101">
        <f t="shared" si="1"/>
        <v>20501.91</v>
      </c>
      <c r="Q7" s="101">
        <f t="shared" si="2"/>
        <v>0</v>
      </c>
      <c r="R7" s="101">
        <f t="shared" si="3"/>
        <v>20501.91</v>
      </c>
      <c r="S7" s="101">
        <f t="shared" si="4"/>
        <v>18.090000000000146</v>
      </c>
      <c r="T7" s="103">
        <f t="shared" si="5"/>
        <v>0.67000000000000537</v>
      </c>
    </row>
    <row r="8" spans="1:20" x14ac:dyDescent="0.25">
      <c r="B8" s="99">
        <v>4</v>
      </c>
      <c r="C8" s="100" t="s">
        <v>440</v>
      </c>
      <c r="D8" s="100">
        <v>6</v>
      </c>
      <c r="E8" s="100" t="s">
        <v>551</v>
      </c>
      <c r="F8" s="101">
        <v>31.15</v>
      </c>
      <c r="G8" s="101">
        <v>18690</v>
      </c>
      <c r="H8" s="100" t="s">
        <v>550</v>
      </c>
      <c r="I8" s="101">
        <v>0</v>
      </c>
      <c r="J8" s="101">
        <v>0</v>
      </c>
      <c r="K8" s="100" t="s">
        <v>465</v>
      </c>
      <c r="L8" s="100">
        <v>18690</v>
      </c>
      <c r="M8" s="102">
        <v>0.33189999999999997</v>
      </c>
      <c r="N8" s="100"/>
      <c r="O8" s="101">
        <f t="shared" si="0"/>
        <v>18690</v>
      </c>
      <c r="P8" s="101">
        <f t="shared" si="1"/>
        <v>18685.979999999996</v>
      </c>
      <c r="Q8" s="101">
        <f t="shared" si="2"/>
        <v>0</v>
      </c>
      <c r="R8" s="101">
        <f t="shared" si="3"/>
        <v>18685.979999999996</v>
      </c>
      <c r="S8" s="101">
        <f t="shared" si="4"/>
        <v>4.0200000000040745</v>
      </c>
      <c r="T8" s="103">
        <f t="shared" si="5"/>
        <v>0.67000000000067905</v>
      </c>
    </row>
    <row r="9" spans="1:20" x14ac:dyDescent="0.25">
      <c r="B9" s="99">
        <v>5</v>
      </c>
      <c r="C9" s="100" t="s">
        <v>440</v>
      </c>
      <c r="D9" s="100">
        <v>7</v>
      </c>
      <c r="E9" s="100" t="s">
        <v>552</v>
      </c>
      <c r="F9" s="101">
        <v>26.95</v>
      </c>
      <c r="G9" s="101">
        <v>18865</v>
      </c>
      <c r="H9" s="100" t="s">
        <v>550</v>
      </c>
      <c r="I9" s="101">
        <v>0</v>
      </c>
      <c r="J9" s="101">
        <v>0</v>
      </c>
      <c r="K9" s="100" t="s">
        <v>465</v>
      </c>
      <c r="L9" s="100">
        <v>18865</v>
      </c>
      <c r="M9" s="102">
        <v>0.28960000000000002</v>
      </c>
      <c r="N9" s="100"/>
      <c r="O9" s="101">
        <f t="shared" si="0"/>
        <v>18865</v>
      </c>
      <c r="P9" s="101">
        <f t="shared" si="1"/>
        <v>18860.310000000001</v>
      </c>
      <c r="Q9" s="101">
        <f t="shared" si="2"/>
        <v>0</v>
      </c>
      <c r="R9" s="101">
        <f t="shared" si="3"/>
        <v>18860.310000000001</v>
      </c>
      <c r="S9" s="101">
        <f t="shared" si="4"/>
        <v>4.6899999999986903</v>
      </c>
      <c r="T9" s="103">
        <f t="shared" si="5"/>
        <v>0.66999999999981286</v>
      </c>
    </row>
    <row r="10" spans="1:20" x14ac:dyDescent="0.25">
      <c r="B10" s="99">
        <v>6</v>
      </c>
      <c r="C10" s="100" t="s">
        <v>440</v>
      </c>
      <c r="D10" s="100">
        <v>9</v>
      </c>
      <c r="E10" s="100" t="s">
        <v>553</v>
      </c>
      <c r="F10" s="101">
        <v>21.15</v>
      </c>
      <c r="G10" s="101">
        <v>19035</v>
      </c>
      <c r="H10" s="100" t="s">
        <v>550</v>
      </c>
      <c r="I10" s="101">
        <v>0</v>
      </c>
      <c r="J10" s="101">
        <v>0</v>
      </c>
      <c r="K10" s="100" t="s">
        <v>465</v>
      </c>
      <c r="L10" s="100">
        <v>19035</v>
      </c>
      <c r="M10" s="102">
        <v>0.22539999999999999</v>
      </c>
      <c r="N10" s="100"/>
      <c r="O10" s="101">
        <f t="shared" si="0"/>
        <v>19035</v>
      </c>
      <c r="P10" s="101">
        <f t="shared" si="1"/>
        <v>19028.97</v>
      </c>
      <c r="Q10" s="101">
        <f t="shared" si="2"/>
        <v>0</v>
      </c>
      <c r="R10" s="101">
        <f t="shared" si="3"/>
        <v>19028.97</v>
      </c>
      <c r="S10" s="101">
        <f t="shared" si="4"/>
        <v>6.0299999999988358</v>
      </c>
      <c r="T10" s="103">
        <f t="shared" si="5"/>
        <v>0.6699999999998707</v>
      </c>
    </row>
    <row r="11" spans="1:20" x14ac:dyDescent="0.25">
      <c r="B11" s="99">
        <v>7</v>
      </c>
      <c r="C11" s="100" t="s">
        <v>635</v>
      </c>
      <c r="D11" s="100">
        <v>10</v>
      </c>
      <c r="E11" s="100" t="s">
        <v>632</v>
      </c>
      <c r="F11" s="101">
        <v>27.6</v>
      </c>
      <c r="G11" s="101">
        <v>27600</v>
      </c>
      <c r="H11" s="100" t="s">
        <v>647</v>
      </c>
      <c r="I11" s="101">
        <v>0</v>
      </c>
      <c r="J11" s="101">
        <v>0</v>
      </c>
      <c r="K11" s="100" t="s">
        <v>465</v>
      </c>
      <c r="L11" s="100">
        <v>27600</v>
      </c>
      <c r="M11" s="102">
        <v>0.25700000000000001</v>
      </c>
      <c r="N11" s="100"/>
      <c r="O11" s="101">
        <f t="shared" si="0"/>
        <v>27600</v>
      </c>
      <c r="P11" s="101">
        <f t="shared" si="1"/>
        <v>27593.3</v>
      </c>
      <c r="Q11" s="101">
        <f t="shared" si="2"/>
        <v>0</v>
      </c>
      <c r="R11" s="101">
        <f t="shared" si="3"/>
        <v>27593.3</v>
      </c>
      <c r="S11" s="101">
        <f t="shared" si="4"/>
        <v>6.7000000000007276</v>
      </c>
      <c r="T11" s="103">
        <f t="shared" si="5"/>
        <v>0.67000000000007276</v>
      </c>
    </row>
    <row r="12" spans="1:20" x14ac:dyDescent="0.25">
      <c r="B12" s="99">
        <v>8</v>
      </c>
      <c r="C12" s="100" t="s">
        <v>635</v>
      </c>
      <c r="D12" s="100">
        <v>11</v>
      </c>
      <c r="E12" s="100" t="s">
        <v>648</v>
      </c>
      <c r="F12" s="101">
        <v>26</v>
      </c>
      <c r="G12" s="101">
        <v>28600</v>
      </c>
      <c r="H12" s="100" t="s">
        <v>647</v>
      </c>
      <c r="I12" s="101">
        <v>0</v>
      </c>
      <c r="J12" s="101">
        <v>0</v>
      </c>
      <c r="K12" s="100" t="s">
        <v>465</v>
      </c>
      <c r="L12" s="100">
        <v>28600</v>
      </c>
      <c r="M12" s="102">
        <v>0.25</v>
      </c>
      <c r="N12" s="100"/>
      <c r="O12" s="101">
        <f t="shared" si="0"/>
        <v>28600</v>
      </c>
      <c r="P12" s="101">
        <f t="shared" si="1"/>
        <v>28592.63</v>
      </c>
      <c r="Q12" s="101">
        <f t="shared" si="2"/>
        <v>0</v>
      </c>
      <c r="R12" s="101">
        <f t="shared" si="3"/>
        <v>28592.63</v>
      </c>
      <c r="S12" s="101">
        <f t="shared" si="4"/>
        <v>7.3699999999989814</v>
      </c>
      <c r="T12" s="103">
        <f t="shared" si="5"/>
        <v>0.66999999999990745</v>
      </c>
    </row>
    <row r="13" spans="1:20" x14ac:dyDescent="0.25">
      <c r="B13" s="99">
        <v>9</v>
      </c>
      <c r="C13" s="100" t="s">
        <v>615</v>
      </c>
      <c r="D13" s="100">
        <v>8</v>
      </c>
      <c r="E13" s="100" t="s">
        <v>678</v>
      </c>
      <c r="F13" s="101">
        <v>35.200000000000003</v>
      </c>
      <c r="G13" s="101">
        <v>28160</v>
      </c>
      <c r="H13" s="100" t="s">
        <v>679</v>
      </c>
      <c r="I13" s="101">
        <v>0</v>
      </c>
      <c r="J13" s="101">
        <v>0</v>
      </c>
      <c r="K13" s="100" t="s">
        <v>465</v>
      </c>
      <c r="L13" s="100">
        <v>28160</v>
      </c>
      <c r="M13" s="102">
        <v>0.39200000000000002</v>
      </c>
      <c r="N13" s="100"/>
      <c r="O13" s="101">
        <f t="shared" si="0"/>
        <v>28160</v>
      </c>
      <c r="P13" s="101">
        <f t="shared" si="1"/>
        <v>28154.640000000003</v>
      </c>
      <c r="Q13" s="101">
        <f t="shared" si="2"/>
        <v>0</v>
      </c>
      <c r="R13" s="101">
        <f t="shared" si="3"/>
        <v>28154.640000000003</v>
      </c>
      <c r="S13" s="101">
        <f t="shared" si="4"/>
        <v>5.3599999999969441</v>
      </c>
      <c r="T13" s="103">
        <f t="shared" si="5"/>
        <v>0.66999999999961801</v>
      </c>
    </row>
    <row r="14" spans="1:20" x14ac:dyDescent="0.25">
      <c r="B14" s="99">
        <v>10</v>
      </c>
      <c r="C14" s="100" t="s">
        <v>703</v>
      </c>
      <c r="D14" s="100">
        <v>31</v>
      </c>
      <c r="E14" s="100" t="s">
        <v>704</v>
      </c>
      <c r="F14" s="101">
        <v>11.6</v>
      </c>
      <c r="G14" s="101">
        <v>35960</v>
      </c>
      <c r="H14" s="100" t="s">
        <v>705</v>
      </c>
      <c r="I14" s="101">
        <v>0</v>
      </c>
      <c r="J14" s="101">
        <v>0</v>
      </c>
      <c r="K14" s="100" t="s">
        <v>465</v>
      </c>
      <c r="L14" s="100">
        <v>35960</v>
      </c>
      <c r="M14" s="102">
        <v>0.66669999999999996</v>
      </c>
      <c r="N14" s="100"/>
      <c r="O14" s="101">
        <f t="shared" si="0"/>
        <v>35960</v>
      </c>
      <c r="P14" s="101">
        <f t="shared" si="1"/>
        <v>35939.230000000003</v>
      </c>
      <c r="Q14" s="101">
        <f t="shared" si="2"/>
        <v>0</v>
      </c>
      <c r="R14" s="101">
        <f t="shared" si="3"/>
        <v>35939.230000000003</v>
      </c>
      <c r="S14" s="101">
        <f t="shared" si="4"/>
        <v>20.769999999996799</v>
      </c>
      <c r="T14" s="103">
        <f t="shared" si="5"/>
        <v>0.66999999999989668</v>
      </c>
    </row>
    <row r="15" spans="1:20" x14ac:dyDescent="0.25">
      <c r="B15" s="99">
        <v>11</v>
      </c>
      <c r="C15" s="100" t="s">
        <v>731</v>
      </c>
      <c r="D15" s="100">
        <v>35</v>
      </c>
      <c r="E15" s="100" t="s">
        <v>757</v>
      </c>
      <c r="F15" s="101">
        <v>8.6999999999999993</v>
      </c>
      <c r="G15" s="101">
        <v>30450</v>
      </c>
      <c r="H15" s="100" t="s">
        <v>758</v>
      </c>
      <c r="I15" s="101">
        <v>0</v>
      </c>
      <c r="J15" s="101">
        <v>0</v>
      </c>
      <c r="K15" s="100" t="s">
        <v>465</v>
      </c>
      <c r="L15" s="100">
        <v>30450</v>
      </c>
      <c r="M15" s="102">
        <v>0.2107</v>
      </c>
      <c r="N15" s="100"/>
      <c r="O15" s="101">
        <f t="shared" si="0"/>
        <v>30450</v>
      </c>
      <c r="P15" s="101">
        <f t="shared" si="1"/>
        <v>30426.55</v>
      </c>
      <c r="Q15" s="101">
        <f t="shared" si="2"/>
        <v>0</v>
      </c>
      <c r="R15" s="101">
        <f t="shared" si="3"/>
        <v>30426.55</v>
      </c>
      <c r="S15" s="101">
        <f t="shared" si="4"/>
        <v>23.450000000000728</v>
      </c>
      <c r="T15" s="103">
        <f t="shared" si="5"/>
        <v>0.6700000000000208</v>
      </c>
    </row>
    <row r="16" spans="1:20" x14ac:dyDescent="0.25">
      <c r="B16" s="99">
        <v>12</v>
      </c>
      <c r="C16" s="100" t="s">
        <v>788</v>
      </c>
      <c r="D16" s="100">
        <v>33</v>
      </c>
      <c r="E16" s="100" t="s">
        <v>789</v>
      </c>
      <c r="F16" s="101">
        <v>9.1</v>
      </c>
      <c r="G16" s="101">
        <v>30030</v>
      </c>
      <c r="H16" s="100" t="s">
        <v>790</v>
      </c>
      <c r="I16" s="101">
        <v>0</v>
      </c>
      <c r="J16" s="101">
        <v>0</v>
      </c>
      <c r="K16" s="100" t="s">
        <v>465</v>
      </c>
      <c r="L16" s="100">
        <v>30030</v>
      </c>
      <c r="M16" s="102">
        <v>0.45729999999999998</v>
      </c>
      <c r="N16" s="100"/>
      <c r="O16" s="101">
        <f t="shared" si="0"/>
        <v>30030</v>
      </c>
      <c r="P16" s="101">
        <f t="shared" si="1"/>
        <v>30007.89</v>
      </c>
      <c r="Q16" s="101">
        <f t="shared" si="2"/>
        <v>0</v>
      </c>
      <c r="R16" s="101">
        <f t="shared" si="3"/>
        <v>30007.89</v>
      </c>
      <c r="S16" s="101">
        <f t="shared" si="4"/>
        <v>22.110000000000582</v>
      </c>
      <c r="T16" s="103">
        <f t="shared" si="5"/>
        <v>0.67000000000001769</v>
      </c>
    </row>
    <row r="17" spans="2:20" x14ac:dyDescent="0.25">
      <c r="B17" s="99">
        <v>13</v>
      </c>
      <c r="C17" s="100" t="s">
        <v>788</v>
      </c>
      <c r="D17" s="100">
        <v>38</v>
      </c>
      <c r="E17" s="100" t="s">
        <v>738</v>
      </c>
      <c r="F17" s="101">
        <v>7.4</v>
      </c>
      <c r="G17" s="101">
        <v>28120</v>
      </c>
      <c r="H17" s="100" t="s">
        <v>790</v>
      </c>
      <c r="I17" s="101">
        <v>0</v>
      </c>
      <c r="J17" s="101">
        <v>0</v>
      </c>
      <c r="K17" s="100" t="s">
        <v>465</v>
      </c>
      <c r="L17" s="100">
        <v>28120</v>
      </c>
      <c r="M17" s="102">
        <v>0.35920000000000002</v>
      </c>
      <c r="N17" s="100"/>
      <c r="O17" s="101">
        <f t="shared" si="0"/>
        <v>28120</v>
      </c>
      <c r="P17" s="101">
        <f t="shared" si="1"/>
        <v>28094.54</v>
      </c>
      <c r="Q17" s="101">
        <f t="shared" si="2"/>
        <v>0</v>
      </c>
      <c r="R17" s="101">
        <f t="shared" si="3"/>
        <v>28094.54</v>
      </c>
      <c r="S17" s="101">
        <f t="shared" si="4"/>
        <v>25.459999999999127</v>
      </c>
      <c r="T17" s="103">
        <f t="shared" si="5"/>
        <v>0.66999999999997706</v>
      </c>
    </row>
    <row r="18" spans="2:20" x14ac:dyDescent="0.25">
      <c r="B18" s="99">
        <v>14</v>
      </c>
      <c r="C18" s="100" t="s">
        <v>788</v>
      </c>
      <c r="D18" s="100">
        <v>41</v>
      </c>
      <c r="E18" s="100" t="s">
        <v>743</v>
      </c>
      <c r="F18" s="101">
        <v>6.6</v>
      </c>
      <c r="G18" s="101">
        <v>27060</v>
      </c>
      <c r="H18" s="100" t="s">
        <v>790</v>
      </c>
      <c r="I18" s="101">
        <v>0</v>
      </c>
      <c r="J18" s="101">
        <v>0</v>
      </c>
      <c r="K18" s="100" t="s">
        <v>465</v>
      </c>
      <c r="L18" s="100">
        <v>27060</v>
      </c>
      <c r="M18" s="102">
        <v>0.32350000000000001</v>
      </c>
      <c r="N18" s="100"/>
      <c r="O18" s="101">
        <f t="shared" si="0"/>
        <v>27060</v>
      </c>
      <c r="P18" s="101">
        <f t="shared" si="1"/>
        <v>27032.529999999995</v>
      </c>
      <c r="Q18" s="101">
        <f t="shared" si="2"/>
        <v>0</v>
      </c>
      <c r="R18" s="101">
        <f t="shared" si="3"/>
        <v>27032.529999999995</v>
      </c>
      <c r="S18" s="101">
        <f t="shared" si="4"/>
        <v>27.470000000004802</v>
      </c>
      <c r="T18" s="103">
        <f t="shared" si="5"/>
        <v>0.67000000000011717</v>
      </c>
    </row>
    <row r="19" spans="2:20" x14ac:dyDescent="0.25">
      <c r="B19" s="99">
        <v>15</v>
      </c>
      <c r="C19" s="100" t="s">
        <v>731</v>
      </c>
      <c r="D19" s="100">
        <v>17</v>
      </c>
      <c r="E19" s="100" t="s">
        <v>787</v>
      </c>
      <c r="F19" s="101">
        <v>18.7</v>
      </c>
      <c r="G19" s="101">
        <v>31790</v>
      </c>
      <c r="H19" s="100" t="s">
        <v>796</v>
      </c>
      <c r="I19" s="101">
        <v>0</v>
      </c>
      <c r="J19" s="101">
        <v>0</v>
      </c>
      <c r="K19" s="100" t="s">
        <v>465</v>
      </c>
      <c r="L19" s="100">
        <v>31790</v>
      </c>
      <c r="M19" s="102">
        <v>0.40389999999999998</v>
      </c>
      <c r="N19" s="100"/>
      <c r="O19" s="101">
        <f t="shared" si="0"/>
        <v>31790</v>
      </c>
      <c r="P19" s="101">
        <f t="shared" si="1"/>
        <v>31778.609999999997</v>
      </c>
      <c r="Q19" s="101">
        <f t="shared" si="2"/>
        <v>0</v>
      </c>
      <c r="R19" s="101">
        <f t="shared" si="3"/>
        <v>31778.609999999997</v>
      </c>
      <c r="S19" s="101">
        <f t="shared" si="4"/>
        <v>11.390000000003056</v>
      </c>
      <c r="T19" s="103">
        <f t="shared" si="5"/>
        <v>0.67000000000017979</v>
      </c>
    </row>
    <row r="20" spans="2:20" x14ac:dyDescent="0.25">
      <c r="B20" s="99">
        <v>16</v>
      </c>
      <c r="C20" s="100" t="s">
        <v>788</v>
      </c>
      <c r="D20" s="100">
        <v>33</v>
      </c>
      <c r="E20" s="100" t="s">
        <v>819</v>
      </c>
      <c r="F20" s="101">
        <v>9</v>
      </c>
      <c r="G20" s="101">
        <v>29700</v>
      </c>
      <c r="H20" s="100" t="s">
        <v>820</v>
      </c>
      <c r="I20" s="101">
        <v>0</v>
      </c>
      <c r="J20" s="101">
        <v>0</v>
      </c>
      <c r="K20" s="100" t="s">
        <v>465</v>
      </c>
      <c r="L20" s="100">
        <v>29700</v>
      </c>
      <c r="M20" s="102">
        <v>0.45</v>
      </c>
      <c r="N20" s="100"/>
      <c r="O20" s="101">
        <f t="shared" si="0"/>
        <v>29700</v>
      </c>
      <c r="P20" s="101">
        <f t="shared" si="1"/>
        <v>29677.89</v>
      </c>
      <c r="Q20" s="101">
        <f t="shared" si="2"/>
        <v>0</v>
      </c>
      <c r="R20" s="101">
        <f t="shared" si="3"/>
        <v>29677.89</v>
      </c>
      <c r="S20" s="101">
        <f t="shared" si="4"/>
        <v>22.110000000000582</v>
      </c>
      <c r="T20" s="103">
        <f t="shared" si="5"/>
        <v>0.67000000000001769</v>
      </c>
    </row>
    <row r="21" spans="2:20" x14ac:dyDescent="0.25">
      <c r="B21" s="99">
        <v>17</v>
      </c>
      <c r="C21" s="100" t="s">
        <v>788</v>
      </c>
      <c r="D21" s="100">
        <v>43</v>
      </c>
      <c r="E21" s="100" t="s">
        <v>725</v>
      </c>
      <c r="F21" s="101">
        <v>6.7</v>
      </c>
      <c r="G21" s="101">
        <v>28810</v>
      </c>
      <c r="H21" s="100" t="s">
        <v>820</v>
      </c>
      <c r="I21" s="101">
        <v>0</v>
      </c>
      <c r="J21" s="101">
        <v>0</v>
      </c>
      <c r="K21" s="100" t="s">
        <v>465</v>
      </c>
      <c r="L21" s="100">
        <v>28810</v>
      </c>
      <c r="M21" s="102">
        <v>0.31459999999999999</v>
      </c>
      <c r="N21" s="100"/>
      <c r="O21" s="101">
        <f t="shared" si="0"/>
        <v>28810</v>
      </c>
      <c r="P21" s="101">
        <f t="shared" si="1"/>
        <v>28781.190000000002</v>
      </c>
      <c r="Q21" s="101">
        <f t="shared" si="2"/>
        <v>0</v>
      </c>
      <c r="R21" s="101">
        <f t="shared" si="3"/>
        <v>28781.190000000002</v>
      </c>
      <c r="S21" s="101">
        <f t="shared" si="4"/>
        <v>28.809999999997672</v>
      </c>
      <c r="T21" s="103">
        <f t="shared" si="5"/>
        <v>0.66999999999994586</v>
      </c>
    </row>
    <row r="22" spans="2:20" x14ac:dyDescent="0.25">
      <c r="B22" s="99">
        <v>18</v>
      </c>
      <c r="C22" s="100" t="s">
        <v>788</v>
      </c>
      <c r="D22" s="100">
        <v>37</v>
      </c>
      <c r="E22" s="100" t="s">
        <v>821</v>
      </c>
      <c r="F22" s="101">
        <v>7.1</v>
      </c>
      <c r="G22" s="101">
        <v>26270</v>
      </c>
      <c r="H22" s="100" t="s">
        <v>820</v>
      </c>
      <c r="I22" s="101">
        <v>0</v>
      </c>
      <c r="J22" s="101">
        <v>0</v>
      </c>
      <c r="K22" s="100" t="s">
        <v>465</v>
      </c>
      <c r="L22" s="100">
        <v>26270</v>
      </c>
      <c r="M22" s="102">
        <v>0.35680000000000001</v>
      </c>
      <c r="N22" s="100"/>
      <c r="O22" s="101">
        <f t="shared" si="0"/>
        <v>26270</v>
      </c>
      <c r="P22" s="101">
        <f t="shared" si="1"/>
        <v>26245.21</v>
      </c>
      <c r="Q22" s="101">
        <f t="shared" si="2"/>
        <v>0</v>
      </c>
      <c r="R22" s="101">
        <f t="shared" si="3"/>
        <v>26245.21</v>
      </c>
      <c r="S22" s="101">
        <f t="shared" si="4"/>
        <v>24.790000000000873</v>
      </c>
      <c r="T22" s="103">
        <f t="shared" si="5"/>
        <v>0.67000000000002358</v>
      </c>
    </row>
    <row r="23" spans="2:20" ht="15.75" thickBot="1" x14ac:dyDescent="0.3">
      <c r="B23" s="104">
        <v>19</v>
      </c>
      <c r="C23" s="105" t="s">
        <v>860</v>
      </c>
      <c r="D23" s="105">
        <v>28</v>
      </c>
      <c r="E23" s="105" t="s">
        <v>861</v>
      </c>
      <c r="F23" s="106">
        <v>12</v>
      </c>
      <c r="G23" s="106">
        <v>33600</v>
      </c>
      <c r="H23" s="105" t="s">
        <v>862</v>
      </c>
      <c r="I23" s="106">
        <v>0</v>
      </c>
      <c r="J23" s="106">
        <v>0</v>
      </c>
      <c r="K23" s="105" t="s">
        <v>465</v>
      </c>
      <c r="L23" s="105">
        <v>33600</v>
      </c>
      <c r="M23" s="107">
        <v>0.36359999999999998</v>
      </c>
      <c r="N23" s="105"/>
      <c r="O23" s="106">
        <f t="shared" si="0"/>
        <v>33600</v>
      </c>
      <c r="P23" s="106">
        <f t="shared" si="1"/>
        <v>33581.24</v>
      </c>
      <c r="Q23" s="106">
        <f t="shared" si="2"/>
        <v>0</v>
      </c>
      <c r="R23" s="106">
        <f t="shared" si="3"/>
        <v>33581.24</v>
      </c>
      <c r="S23" s="106">
        <f t="shared" si="4"/>
        <v>18.760000000002037</v>
      </c>
      <c r="T23" s="108">
        <f t="shared" si="5"/>
        <v>0.67000000000007276</v>
      </c>
    </row>
    <row r="24" spans="2:20" x14ac:dyDescent="0.25">
      <c r="B24" s="94">
        <v>20</v>
      </c>
      <c r="C24" s="95" t="s">
        <v>1134</v>
      </c>
      <c r="D24" s="95">
        <v>141</v>
      </c>
      <c r="E24" s="95" t="s">
        <v>1164</v>
      </c>
      <c r="F24" s="96">
        <v>4.7</v>
      </c>
      <c r="G24" s="96">
        <v>66175.53</v>
      </c>
      <c r="H24" s="95" t="s">
        <v>1165</v>
      </c>
      <c r="I24" s="96">
        <v>4.05</v>
      </c>
      <c r="J24" s="96">
        <v>57199.47</v>
      </c>
      <c r="K24" s="95" t="s">
        <v>1166</v>
      </c>
      <c r="L24" s="95">
        <v>8976.06</v>
      </c>
      <c r="M24" s="97">
        <v>1.72E-2</v>
      </c>
      <c r="N24" s="95"/>
      <c r="O24" s="96">
        <f t="shared" si="0"/>
        <v>8976.0599999999977</v>
      </c>
      <c r="P24" s="96">
        <f t="shared" si="1"/>
        <v>66175.53</v>
      </c>
      <c r="Q24" s="96">
        <f>I24*D24*100 + D24*0.67</f>
        <v>57199.469999999994</v>
      </c>
      <c r="R24" s="96">
        <f t="shared" si="3"/>
        <v>8976.0600000000049</v>
      </c>
      <c r="S24" s="96">
        <f t="shared" si="4"/>
        <v>0</v>
      </c>
      <c r="T24" s="98">
        <f t="shared" si="5"/>
        <v>0</v>
      </c>
    </row>
    <row r="25" spans="2:20" x14ac:dyDescent="0.25">
      <c r="B25" s="99">
        <v>21</v>
      </c>
      <c r="C25" s="100" t="s">
        <v>1134</v>
      </c>
      <c r="D25" s="100">
        <v>154</v>
      </c>
      <c r="E25" s="100" t="s">
        <v>1167</v>
      </c>
      <c r="F25" s="101">
        <v>4.3</v>
      </c>
      <c r="G25" s="101">
        <v>66116.820000000007</v>
      </c>
      <c r="H25" s="100" t="s">
        <v>1165</v>
      </c>
      <c r="I25" s="101">
        <v>3.2</v>
      </c>
      <c r="J25" s="101">
        <v>49383.18</v>
      </c>
      <c r="K25" s="100" t="s">
        <v>1166</v>
      </c>
      <c r="L25" s="100">
        <v>16733.64</v>
      </c>
      <c r="M25" s="102">
        <v>2.86E-2</v>
      </c>
      <c r="N25" s="100"/>
      <c r="O25" s="101">
        <f t="shared" si="0"/>
        <v>16733.640000000007</v>
      </c>
      <c r="P25" s="101">
        <f t="shared" si="1"/>
        <v>66116.820000000007</v>
      </c>
      <c r="Q25" s="101">
        <f t="shared" ref="Q25:Q88" si="6">I25*D25*100 + D25*0.67</f>
        <v>49383.18</v>
      </c>
      <c r="R25" s="101">
        <f t="shared" si="3"/>
        <v>16733.640000000007</v>
      </c>
      <c r="S25" s="101">
        <f t="shared" si="4"/>
        <v>0</v>
      </c>
      <c r="T25" s="103">
        <f t="shared" si="5"/>
        <v>0</v>
      </c>
    </row>
    <row r="26" spans="2:20" x14ac:dyDescent="0.25">
      <c r="B26" s="99">
        <v>22</v>
      </c>
      <c r="C26" s="100" t="s">
        <v>1134</v>
      </c>
      <c r="D26" s="100">
        <v>165</v>
      </c>
      <c r="E26" s="100" t="s">
        <v>1168</v>
      </c>
      <c r="F26" s="101">
        <v>4</v>
      </c>
      <c r="G26" s="101">
        <v>65889.45</v>
      </c>
      <c r="H26" s="100" t="s">
        <v>1165</v>
      </c>
      <c r="I26" s="101">
        <v>3.65</v>
      </c>
      <c r="J26" s="101">
        <v>60335.55</v>
      </c>
      <c r="K26" s="100" t="s">
        <v>1166</v>
      </c>
      <c r="L26" s="100">
        <v>5553.9</v>
      </c>
      <c r="M26" s="102">
        <v>9.5999999999999992E-3</v>
      </c>
      <c r="N26" s="100"/>
      <c r="O26" s="101">
        <f t="shared" si="0"/>
        <v>5553.8999999999942</v>
      </c>
      <c r="P26" s="101">
        <f t="shared" si="1"/>
        <v>65889.45</v>
      </c>
      <c r="Q26" s="101">
        <f t="shared" si="6"/>
        <v>60335.55</v>
      </c>
      <c r="R26" s="101">
        <f t="shared" si="3"/>
        <v>5553.8999999999942</v>
      </c>
      <c r="S26" s="101">
        <f t="shared" si="4"/>
        <v>0</v>
      </c>
      <c r="T26" s="103">
        <f t="shared" si="5"/>
        <v>0</v>
      </c>
    </row>
    <row r="27" spans="2:20" x14ac:dyDescent="0.25">
      <c r="B27" s="99">
        <v>23</v>
      </c>
      <c r="C27" s="100" t="s">
        <v>1134</v>
      </c>
      <c r="D27" s="100">
        <v>182</v>
      </c>
      <c r="E27" s="100" t="s">
        <v>1169</v>
      </c>
      <c r="F27" s="101">
        <v>3.65</v>
      </c>
      <c r="G27" s="101">
        <v>66308.06</v>
      </c>
      <c r="H27" s="100" t="s">
        <v>1165</v>
      </c>
      <c r="I27" s="101">
        <v>2.98</v>
      </c>
      <c r="J27" s="101">
        <v>54357.94</v>
      </c>
      <c r="K27" s="100" t="s">
        <v>1166</v>
      </c>
      <c r="L27" s="100">
        <v>11950.12</v>
      </c>
      <c r="M27" s="102">
        <v>1.78E-2</v>
      </c>
      <c r="N27" s="100"/>
      <c r="O27" s="101">
        <f t="shared" si="0"/>
        <v>11950.119999999995</v>
      </c>
      <c r="P27" s="101">
        <f t="shared" si="1"/>
        <v>66308.06</v>
      </c>
      <c r="Q27" s="101">
        <f t="shared" si="6"/>
        <v>54357.94</v>
      </c>
      <c r="R27" s="101">
        <f t="shared" si="3"/>
        <v>11950.119999999995</v>
      </c>
      <c r="S27" s="101">
        <f t="shared" si="4"/>
        <v>0</v>
      </c>
      <c r="T27" s="103">
        <f t="shared" si="5"/>
        <v>0</v>
      </c>
    </row>
    <row r="28" spans="2:20" x14ac:dyDescent="0.25">
      <c r="B28" s="99">
        <v>24</v>
      </c>
      <c r="C28" s="100" t="s">
        <v>524</v>
      </c>
      <c r="D28" s="100">
        <v>53</v>
      </c>
      <c r="E28" s="100" t="s">
        <v>1170</v>
      </c>
      <c r="F28" s="101">
        <v>12.1</v>
      </c>
      <c r="G28" s="101">
        <v>64094.49</v>
      </c>
      <c r="H28" s="100" t="s">
        <v>1165</v>
      </c>
      <c r="I28" s="101">
        <v>8.8000000000000007</v>
      </c>
      <c r="J28" s="101">
        <v>46675.51</v>
      </c>
      <c r="K28" s="100" t="s">
        <v>1166</v>
      </c>
      <c r="L28" s="100">
        <v>17418.98</v>
      </c>
      <c r="M28" s="102">
        <v>2.2700000000000001E-2</v>
      </c>
      <c r="N28" s="100"/>
      <c r="O28" s="101">
        <f t="shared" si="0"/>
        <v>17418.979999999996</v>
      </c>
      <c r="P28" s="101">
        <f t="shared" si="1"/>
        <v>64094.489999999991</v>
      </c>
      <c r="Q28" s="101">
        <f t="shared" si="6"/>
        <v>46675.51</v>
      </c>
      <c r="R28" s="101">
        <f t="shared" si="3"/>
        <v>17418.979999999989</v>
      </c>
      <c r="S28" s="101">
        <f t="shared" si="4"/>
        <v>0</v>
      </c>
      <c r="T28" s="103">
        <f t="shared" si="5"/>
        <v>0</v>
      </c>
    </row>
    <row r="29" spans="2:20" x14ac:dyDescent="0.25">
      <c r="B29" s="99">
        <v>25</v>
      </c>
      <c r="C29" s="100" t="s">
        <v>1134</v>
      </c>
      <c r="D29" s="100">
        <v>178</v>
      </c>
      <c r="E29" s="100" t="s">
        <v>1148</v>
      </c>
      <c r="F29" s="101">
        <v>3.7</v>
      </c>
      <c r="G29" s="101">
        <v>65740.740000000005</v>
      </c>
      <c r="H29" s="100" t="s">
        <v>1165</v>
      </c>
      <c r="I29" s="101">
        <v>2.71</v>
      </c>
      <c r="J29" s="101">
        <v>48357.26</v>
      </c>
      <c r="K29" s="100" t="s">
        <v>1166</v>
      </c>
      <c r="L29" s="100">
        <v>17383.48</v>
      </c>
      <c r="M29" s="102">
        <v>2.7199999999999998E-2</v>
      </c>
      <c r="N29" s="100"/>
      <c r="O29" s="101">
        <f t="shared" si="0"/>
        <v>17383.480000000003</v>
      </c>
      <c r="P29" s="101">
        <f t="shared" si="1"/>
        <v>65740.740000000005</v>
      </c>
      <c r="Q29" s="101">
        <f t="shared" si="6"/>
        <v>48357.26</v>
      </c>
      <c r="R29" s="101">
        <f t="shared" si="3"/>
        <v>17383.480000000003</v>
      </c>
      <c r="S29" s="101">
        <f t="shared" si="4"/>
        <v>0</v>
      </c>
      <c r="T29" s="103">
        <f t="shared" si="5"/>
        <v>0</v>
      </c>
    </row>
    <row r="30" spans="2:20" x14ac:dyDescent="0.25">
      <c r="B30" s="99">
        <v>26</v>
      </c>
      <c r="C30" s="100" t="s">
        <v>1121</v>
      </c>
      <c r="D30" s="100">
        <v>28</v>
      </c>
      <c r="E30" s="100" t="s">
        <v>1151</v>
      </c>
      <c r="F30" s="101">
        <v>23.5</v>
      </c>
      <c r="G30" s="101">
        <v>65781.240000000005</v>
      </c>
      <c r="H30" s="100" t="s">
        <v>1165</v>
      </c>
      <c r="I30" s="101">
        <v>16.3</v>
      </c>
      <c r="J30" s="101">
        <v>45658.76</v>
      </c>
      <c r="K30" s="100" t="s">
        <v>1166</v>
      </c>
      <c r="L30" s="100">
        <v>20122.48</v>
      </c>
      <c r="M30" s="102">
        <v>0.03</v>
      </c>
      <c r="N30" s="100"/>
      <c r="O30" s="101">
        <f t="shared" si="0"/>
        <v>20122.480000000003</v>
      </c>
      <c r="P30" s="101">
        <f t="shared" si="1"/>
        <v>65781.240000000005</v>
      </c>
      <c r="Q30" s="101">
        <f t="shared" si="6"/>
        <v>45658.76</v>
      </c>
      <c r="R30" s="101">
        <f t="shared" si="3"/>
        <v>20122.480000000003</v>
      </c>
      <c r="S30" s="101">
        <f t="shared" si="4"/>
        <v>0</v>
      </c>
      <c r="T30" s="103">
        <f t="shared" si="5"/>
        <v>0</v>
      </c>
    </row>
    <row r="31" spans="2:20" x14ac:dyDescent="0.25">
      <c r="B31" s="99">
        <v>27</v>
      </c>
      <c r="C31" s="100" t="s">
        <v>1121</v>
      </c>
      <c r="D31" s="100">
        <v>33</v>
      </c>
      <c r="E31" s="100" t="s">
        <v>1171</v>
      </c>
      <c r="F31" s="101">
        <v>19.899999999999999</v>
      </c>
      <c r="G31" s="101">
        <v>65647.89</v>
      </c>
      <c r="H31" s="100" t="s">
        <v>1165</v>
      </c>
      <c r="I31" s="101">
        <v>13.95</v>
      </c>
      <c r="J31" s="101">
        <v>46057.11</v>
      </c>
      <c r="K31" s="100" t="s">
        <v>1166</v>
      </c>
      <c r="L31" s="100">
        <v>19590.78</v>
      </c>
      <c r="M31" s="102">
        <v>2.58E-2</v>
      </c>
      <c r="N31" s="100"/>
      <c r="O31" s="101">
        <f t="shared" si="0"/>
        <v>19590.78</v>
      </c>
      <c r="P31" s="101">
        <f t="shared" si="1"/>
        <v>65647.89</v>
      </c>
      <c r="Q31" s="101">
        <f t="shared" si="6"/>
        <v>46057.11</v>
      </c>
      <c r="R31" s="101">
        <f t="shared" si="3"/>
        <v>19590.78</v>
      </c>
      <c r="S31" s="101">
        <f t="shared" si="4"/>
        <v>0</v>
      </c>
      <c r="T31" s="103">
        <f t="shared" si="5"/>
        <v>0</v>
      </c>
    </row>
    <row r="32" spans="2:20" x14ac:dyDescent="0.25">
      <c r="B32" s="99">
        <v>28</v>
      </c>
      <c r="C32" s="100" t="s">
        <v>1121</v>
      </c>
      <c r="D32" s="100">
        <v>30</v>
      </c>
      <c r="E32" s="100" t="s">
        <v>1172</v>
      </c>
      <c r="F32" s="101">
        <v>21.5</v>
      </c>
      <c r="G32" s="101">
        <v>64479.9</v>
      </c>
      <c r="H32" s="100" t="s">
        <v>1165</v>
      </c>
      <c r="I32" s="101">
        <v>13.4</v>
      </c>
      <c r="J32" s="101">
        <v>40220.1</v>
      </c>
      <c r="K32" s="100" t="s">
        <v>1166</v>
      </c>
      <c r="L32" s="100">
        <v>24259.8</v>
      </c>
      <c r="M32" s="102">
        <v>3.3700000000000001E-2</v>
      </c>
      <c r="N32" s="100"/>
      <c r="O32" s="101">
        <f t="shared" si="0"/>
        <v>24259.800000000003</v>
      </c>
      <c r="P32" s="101">
        <f t="shared" si="1"/>
        <v>64479.9</v>
      </c>
      <c r="Q32" s="101">
        <f t="shared" si="6"/>
        <v>40220.1</v>
      </c>
      <c r="R32" s="101">
        <f t="shared" si="3"/>
        <v>24259.800000000003</v>
      </c>
      <c r="S32" s="101">
        <f t="shared" si="4"/>
        <v>0</v>
      </c>
      <c r="T32" s="103">
        <f t="shared" si="5"/>
        <v>0</v>
      </c>
    </row>
    <row r="33" spans="2:20" x14ac:dyDescent="0.25">
      <c r="B33" s="99">
        <v>29</v>
      </c>
      <c r="C33" s="100" t="s">
        <v>1069</v>
      </c>
      <c r="D33" s="100">
        <v>68</v>
      </c>
      <c r="E33" s="100" t="s">
        <v>1173</v>
      </c>
      <c r="F33" s="101">
        <v>9.65</v>
      </c>
      <c r="G33" s="101">
        <v>65574.44</v>
      </c>
      <c r="H33" s="100" t="s">
        <v>1165</v>
      </c>
      <c r="I33" s="101">
        <v>5.2</v>
      </c>
      <c r="J33" s="101">
        <v>35405.56</v>
      </c>
      <c r="K33" s="100" t="s">
        <v>1166</v>
      </c>
      <c r="L33" s="100">
        <v>30168.880000000001</v>
      </c>
      <c r="M33" s="102">
        <v>3.8600000000000002E-2</v>
      </c>
      <c r="N33" s="100"/>
      <c r="O33" s="101">
        <f t="shared" si="0"/>
        <v>30168.880000000005</v>
      </c>
      <c r="P33" s="101">
        <f t="shared" si="1"/>
        <v>65574.44</v>
      </c>
      <c r="Q33" s="101">
        <f t="shared" si="6"/>
        <v>35405.56</v>
      </c>
      <c r="R33" s="101">
        <f t="shared" si="3"/>
        <v>30168.880000000005</v>
      </c>
      <c r="S33" s="101">
        <f t="shared" si="4"/>
        <v>0</v>
      </c>
      <c r="T33" s="103">
        <f t="shared" si="5"/>
        <v>0</v>
      </c>
    </row>
    <row r="34" spans="2:20" x14ac:dyDescent="0.25">
      <c r="B34" s="99">
        <v>30</v>
      </c>
      <c r="C34" s="100" t="s">
        <v>1134</v>
      </c>
      <c r="D34" s="100">
        <v>165</v>
      </c>
      <c r="E34" s="100" t="s">
        <v>1174</v>
      </c>
      <c r="F34" s="101">
        <v>4.1500000000000004</v>
      </c>
      <c r="G34" s="101">
        <v>68364.45</v>
      </c>
      <c r="H34" s="100" t="s">
        <v>1165</v>
      </c>
      <c r="I34" s="101">
        <v>3.85</v>
      </c>
      <c r="J34" s="101">
        <v>63635.55</v>
      </c>
      <c r="K34" s="100" t="s">
        <v>1166</v>
      </c>
      <c r="L34" s="100">
        <v>4728.8999999999996</v>
      </c>
      <c r="M34" s="102">
        <v>8.2000000000000007E-3</v>
      </c>
      <c r="N34" s="100"/>
      <c r="O34" s="101">
        <f t="shared" si="0"/>
        <v>4728.8999999999942</v>
      </c>
      <c r="P34" s="101">
        <f t="shared" si="1"/>
        <v>68364.450000000012</v>
      </c>
      <c r="Q34" s="101">
        <f t="shared" si="6"/>
        <v>63635.55</v>
      </c>
      <c r="R34" s="101">
        <f t="shared" si="3"/>
        <v>4728.9000000000087</v>
      </c>
      <c r="S34" s="101">
        <f t="shared" si="4"/>
        <v>-9.0949470177292824E-12</v>
      </c>
      <c r="T34" s="103">
        <f t="shared" si="5"/>
        <v>-5.5120891016541107E-14</v>
      </c>
    </row>
    <row r="35" spans="2:20" x14ac:dyDescent="0.25">
      <c r="B35" s="99">
        <v>31</v>
      </c>
      <c r="C35" s="100" t="s">
        <v>1121</v>
      </c>
      <c r="D35" s="100">
        <v>31</v>
      </c>
      <c r="E35" s="100" t="s">
        <v>1175</v>
      </c>
      <c r="F35" s="101">
        <v>22.05</v>
      </c>
      <c r="G35" s="101">
        <v>68334.23</v>
      </c>
      <c r="H35" s="100" t="s">
        <v>1165</v>
      </c>
      <c r="I35" s="101">
        <v>18.899999999999999</v>
      </c>
      <c r="J35" s="101">
        <v>58610.77</v>
      </c>
      <c r="K35" s="100" t="s">
        <v>1166</v>
      </c>
      <c r="L35" s="100">
        <v>9723.4599999999991</v>
      </c>
      <c r="M35" s="102">
        <v>1.3100000000000001E-2</v>
      </c>
      <c r="N35" s="100"/>
      <c r="O35" s="101">
        <f t="shared" si="0"/>
        <v>9723.4599999999991</v>
      </c>
      <c r="P35" s="101">
        <f t="shared" si="1"/>
        <v>68334.23</v>
      </c>
      <c r="Q35" s="101">
        <f t="shared" si="6"/>
        <v>58610.77</v>
      </c>
      <c r="R35" s="101">
        <f t="shared" si="3"/>
        <v>9723.4599999999991</v>
      </c>
      <c r="S35" s="101">
        <f t="shared" si="4"/>
        <v>0</v>
      </c>
      <c r="T35" s="103">
        <f t="shared" si="5"/>
        <v>0</v>
      </c>
    </row>
    <row r="36" spans="2:20" x14ac:dyDescent="0.25">
      <c r="B36" s="99">
        <v>32</v>
      </c>
      <c r="C36" s="100" t="s">
        <v>1067</v>
      </c>
      <c r="D36" s="100">
        <v>153</v>
      </c>
      <c r="E36" s="100" t="s">
        <v>1176</v>
      </c>
      <c r="F36" s="101">
        <v>4.55</v>
      </c>
      <c r="G36" s="101">
        <v>69512.490000000005</v>
      </c>
      <c r="H36" s="100" t="s">
        <v>1165</v>
      </c>
      <c r="I36" s="101">
        <v>5</v>
      </c>
      <c r="J36" s="101">
        <v>76602.509999999995</v>
      </c>
      <c r="K36" s="100" t="s">
        <v>1166</v>
      </c>
      <c r="L36" s="100">
        <v>-7090.02</v>
      </c>
      <c r="M36" s="102">
        <v>-8.8000000000000005E-3</v>
      </c>
      <c r="N36" s="100"/>
      <c r="O36" s="101">
        <f t="shared" si="0"/>
        <v>-7090.0199999999895</v>
      </c>
      <c r="P36" s="101">
        <f t="shared" si="1"/>
        <v>69512.490000000005</v>
      </c>
      <c r="Q36" s="101">
        <f t="shared" si="6"/>
        <v>76602.509999999995</v>
      </c>
      <c r="R36" s="101">
        <f t="shared" si="3"/>
        <v>-7090.0199999999895</v>
      </c>
      <c r="S36" s="101">
        <f t="shared" si="4"/>
        <v>-1.0913936421275139E-11</v>
      </c>
      <c r="T36" s="103">
        <f t="shared" si="5"/>
        <v>-7.1332917786112018E-14</v>
      </c>
    </row>
    <row r="37" spans="2:20" x14ac:dyDescent="0.25">
      <c r="B37" s="99">
        <v>33</v>
      </c>
      <c r="C37" s="100" t="s">
        <v>1121</v>
      </c>
      <c r="D37" s="100">
        <v>26</v>
      </c>
      <c r="E37" s="100" t="s">
        <v>1177</v>
      </c>
      <c r="F37" s="101">
        <v>25.9</v>
      </c>
      <c r="G37" s="101">
        <v>67322.58</v>
      </c>
      <c r="H37" s="100" t="s">
        <v>1165</v>
      </c>
      <c r="I37" s="101">
        <v>21.75</v>
      </c>
      <c r="J37" s="101">
        <v>56567.42</v>
      </c>
      <c r="K37" s="100" t="s">
        <v>1166</v>
      </c>
      <c r="L37" s="100">
        <v>10755.16</v>
      </c>
      <c r="M37" s="102">
        <v>1.66E-2</v>
      </c>
      <c r="N37" s="100"/>
      <c r="O37" s="101">
        <f t="shared" si="0"/>
        <v>10755.160000000003</v>
      </c>
      <c r="P37" s="101">
        <f t="shared" si="1"/>
        <v>67322.58</v>
      </c>
      <c r="Q37" s="101">
        <f t="shared" si="6"/>
        <v>56567.42</v>
      </c>
      <c r="R37" s="101">
        <f t="shared" si="3"/>
        <v>10755.160000000003</v>
      </c>
      <c r="S37" s="101">
        <f t="shared" si="4"/>
        <v>0</v>
      </c>
      <c r="T37" s="103">
        <f t="shared" si="5"/>
        <v>0</v>
      </c>
    </row>
    <row r="38" spans="2:20" x14ac:dyDescent="0.25">
      <c r="B38" s="99">
        <v>34</v>
      </c>
      <c r="C38" s="100" t="s">
        <v>1067</v>
      </c>
      <c r="D38" s="100">
        <v>148</v>
      </c>
      <c r="E38" s="100" t="s">
        <v>1178</v>
      </c>
      <c r="F38" s="101">
        <v>4.7</v>
      </c>
      <c r="G38" s="101">
        <v>69460.84</v>
      </c>
      <c r="H38" s="100" t="s">
        <v>1165</v>
      </c>
      <c r="I38" s="101">
        <v>5.35</v>
      </c>
      <c r="J38" s="101">
        <v>79279.16</v>
      </c>
      <c r="K38" s="100" t="s">
        <v>1166</v>
      </c>
      <c r="L38" s="100">
        <v>-9818.32</v>
      </c>
      <c r="M38" s="102">
        <v>-1.23E-2</v>
      </c>
      <c r="N38" s="100"/>
      <c r="O38" s="101">
        <f t="shared" si="0"/>
        <v>-9818.320000000007</v>
      </c>
      <c r="P38" s="101">
        <f t="shared" si="1"/>
        <v>69460.84</v>
      </c>
      <c r="Q38" s="101">
        <f t="shared" si="6"/>
        <v>79279.16</v>
      </c>
      <c r="R38" s="101">
        <f t="shared" si="3"/>
        <v>-9818.320000000007</v>
      </c>
      <c r="S38" s="101">
        <f t="shared" si="4"/>
        <v>0</v>
      </c>
      <c r="T38" s="103">
        <f t="shared" si="5"/>
        <v>0</v>
      </c>
    </row>
    <row r="39" spans="2:20" x14ac:dyDescent="0.25">
      <c r="B39" s="99">
        <v>35</v>
      </c>
      <c r="C39" s="100" t="s">
        <v>993</v>
      </c>
      <c r="D39" s="100">
        <v>53</v>
      </c>
      <c r="E39" s="100" t="s">
        <v>1179</v>
      </c>
      <c r="F39" s="101">
        <v>13.05</v>
      </c>
      <c r="G39" s="101">
        <v>69129.490000000005</v>
      </c>
      <c r="H39" s="100" t="s">
        <v>1165</v>
      </c>
      <c r="I39" s="101">
        <v>14.4</v>
      </c>
      <c r="J39" s="101">
        <v>76355.509999999995</v>
      </c>
      <c r="K39" s="100" t="s">
        <v>1166</v>
      </c>
      <c r="L39" s="100">
        <v>-7226.02</v>
      </c>
      <c r="M39" s="102">
        <v>-9.1000000000000004E-3</v>
      </c>
      <c r="N39" s="100"/>
      <c r="O39" s="101">
        <f t="shared" si="0"/>
        <v>-7226.0199999999895</v>
      </c>
      <c r="P39" s="101">
        <f t="shared" si="1"/>
        <v>69129.49000000002</v>
      </c>
      <c r="Q39" s="101">
        <f t="shared" si="6"/>
        <v>76355.509999999995</v>
      </c>
      <c r="R39" s="101">
        <f t="shared" si="3"/>
        <v>-7226.019999999975</v>
      </c>
      <c r="S39" s="101">
        <f t="shared" si="4"/>
        <v>-2.5465851649641991E-11</v>
      </c>
      <c r="T39" s="103">
        <f t="shared" si="5"/>
        <v>-4.8048776697437718E-13</v>
      </c>
    </row>
    <row r="40" spans="2:20" x14ac:dyDescent="0.25">
      <c r="B40" s="99">
        <v>36</v>
      </c>
      <c r="C40" s="100" t="s">
        <v>993</v>
      </c>
      <c r="D40" s="100">
        <v>54</v>
      </c>
      <c r="E40" s="100" t="s">
        <v>1180</v>
      </c>
      <c r="F40" s="101">
        <v>13.4</v>
      </c>
      <c r="G40" s="101">
        <v>72323.820000000007</v>
      </c>
      <c r="H40" s="100" t="s">
        <v>1165</v>
      </c>
      <c r="I40" s="101">
        <v>15.9</v>
      </c>
      <c r="J40" s="101">
        <v>85896.18</v>
      </c>
      <c r="K40" s="100" t="s">
        <v>1166</v>
      </c>
      <c r="L40" s="100">
        <v>-13572.36</v>
      </c>
      <c r="M40" s="102">
        <v>-1.6199999999999999E-2</v>
      </c>
      <c r="N40" s="100"/>
      <c r="O40" s="101">
        <f t="shared" si="0"/>
        <v>-13572.359999999986</v>
      </c>
      <c r="P40" s="101">
        <f t="shared" si="1"/>
        <v>72323.820000000007</v>
      </c>
      <c r="Q40" s="101">
        <f t="shared" si="6"/>
        <v>85896.18</v>
      </c>
      <c r="R40" s="101">
        <f t="shared" si="3"/>
        <v>-13572.359999999986</v>
      </c>
      <c r="S40" s="101">
        <f t="shared" si="4"/>
        <v>-1.4551915228366852E-11</v>
      </c>
      <c r="T40" s="103">
        <f t="shared" si="5"/>
        <v>-2.6947991163642317E-13</v>
      </c>
    </row>
    <row r="41" spans="2:20" x14ac:dyDescent="0.25">
      <c r="B41" s="99">
        <v>37</v>
      </c>
      <c r="C41" s="100" t="s">
        <v>1067</v>
      </c>
      <c r="D41" s="100">
        <v>156</v>
      </c>
      <c r="E41" s="100" t="s">
        <v>1181</v>
      </c>
      <c r="F41" s="101">
        <v>4.7</v>
      </c>
      <c r="G41" s="101">
        <v>73215.48</v>
      </c>
      <c r="H41" s="100" t="s">
        <v>1165</v>
      </c>
      <c r="I41" s="101">
        <v>5.7</v>
      </c>
      <c r="J41" s="101">
        <v>89024.52</v>
      </c>
      <c r="K41" s="100" t="s">
        <v>1166</v>
      </c>
      <c r="L41" s="100">
        <v>-15809.04</v>
      </c>
      <c r="M41" s="102">
        <v>-1.84E-2</v>
      </c>
      <c r="N41" s="100"/>
      <c r="O41" s="101">
        <f t="shared" si="0"/>
        <v>-15809.040000000008</v>
      </c>
      <c r="P41" s="101">
        <f t="shared" si="1"/>
        <v>73215.48</v>
      </c>
      <c r="Q41" s="101">
        <f t="shared" si="6"/>
        <v>89024.52</v>
      </c>
      <c r="R41" s="101">
        <f t="shared" si="3"/>
        <v>-15809.040000000008</v>
      </c>
      <c r="S41" s="101">
        <f t="shared" si="4"/>
        <v>0</v>
      </c>
      <c r="T41" s="103">
        <f t="shared" si="5"/>
        <v>0</v>
      </c>
    </row>
    <row r="42" spans="2:20" x14ac:dyDescent="0.25">
      <c r="B42" s="99">
        <v>38</v>
      </c>
      <c r="C42" s="100" t="s">
        <v>1134</v>
      </c>
      <c r="D42" s="100">
        <v>174</v>
      </c>
      <c r="E42" s="100" t="s">
        <v>1161</v>
      </c>
      <c r="F42" s="101">
        <v>4.2</v>
      </c>
      <c r="G42" s="101">
        <v>72963.42</v>
      </c>
      <c r="H42" s="100" t="s">
        <v>1165</v>
      </c>
      <c r="I42" s="101">
        <v>5.65</v>
      </c>
      <c r="J42" s="101">
        <v>98426.58</v>
      </c>
      <c r="K42" s="100" t="s">
        <v>1166</v>
      </c>
      <c r="L42" s="100">
        <v>-25463.16</v>
      </c>
      <c r="M42" s="102">
        <v>-3.6600000000000001E-2</v>
      </c>
      <c r="N42" s="100"/>
      <c r="O42" s="101">
        <f t="shared" si="0"/>
        <v>-25463.160000000003</v>
      </c>
      <c r="P42" s="101">
        <f t="shared" si="1"/>
        <v>72963.42</v>
      </c>
      <c r="Q42" s="101">
        <f t="shared" si="6"/>
        <v>98426.58</v>
      </c>
      <c r="R42" s="101">
        <f t="shared" si="3"/>
        <v>-25463.160000000003</v>
      </c>
      <c r="S42" s="101">
        <f t="shared" si="4"/>
        <v>0</v>
      </c>
      <c r="T42" s="103">
        <f t="shared" si="5"/>
        <v>0</v>
      </c>
    </row>
    <row r="43" spans="2:20" x14ac:dyDescent="0.25">
      <c r="B43" s="99">
        <v>39</v>
      </c>
      <c r="C43" s="100" t="s">
        <v>1069</v>
      </c>
      <c r="D43" s="100">
        <v>62</v>
      </c>
      <c r="E43" s="100" t="s">
        <v>1182</v>
      </c>
      <c r="F43" s="101">
        <v>11.15</v>
      </c>
      <c r="G43" s="101">
        <v>69088.460000000006</v>
      </c>
      <c r="H43" s="100" t="s">
        <v>1165</v>
      </c>
      <c r="I43" s="101">
        <v>8</v>
      </c>
      <c r="J43" s="101">
        <v>49641.54</v>
      </c>
      <c r="K43" s="100" t="s">
        <v>1166</v>
      </c>
      <c r="L43" s="100">
        <v>19446.919999999998</v>
      </c>
      <c r="M43" s="102">
        <v>2.5100000000000001E-2</v>
      </c>
      <c r="N43" s="100"/>
      <c r="O43" s="101">
        <f t="shared" si="0"/>
        <v>19446.920000000006</v>
      </c>
      <c r="P43" s="101">
        <f t="shared" si="1"/>
        <v>69088.460000000006</v>
      </c>
      <c r="Q43" s="101">
        <f t="shared" si="6"/>
        <v>49641.54</v>
      </c>
      <c r="R43" s="101">
        <f t="shared" si="3"/>
        <v>19446.920000000006</v>
      </c>
      <c r="S43" s="101">
        <f t="shared" si="4"/>
        <v>0</v>
      </c>
      <c r="T43" s="103">
        <f t="shared" si="5"/>
        <v>0</v>
      </c>
    </row>
    <row r="44" spans="2:20" x14ac:dyDescent="0.25">
      <c r="B44" s="99">
        <v>40</v>
      </c>
      <c r="C44" s="100" t="s">
        <v>814</v>
      </c>
      <c r="D44" s="100">
        <v>172</v>
      </c>
      <c r="E44" s="100" t="s">
        <v>1183</v>
      </c>
      <c r="F44" s="101">
        <v>4.0999999999999996</v>
      </c>
      <c r="G44" s="101">
        <v>70404.759999999995</v>
      </c>
      <c r="H44" s="100" t="s">
        <v>1165</v>
      </c>
      <c r="I44" s="101">
        <v>5.5</v>
      </c>
      <c r="J44" s="101">
        <v>94715.24</v>
      </c>
      <c r="K44" s="100" t="s">
        <v>1166</v>
      </c>
      <c r="L44" s="100">
        <v>-24310.48</v>
      </c>
      <c r="M44" s="102">
        <v>-3.3700000000000001E-2</v>
      </c>
      <c r="N44" s="100"/>
      <c r="O44" s="101">
        <f t="shared" si="0"/>
        <v>-24310.48000000001</v>
      </c>
      <c r="P44" s="101">
        <f t="shared" si="1"/>
        <v>70404.759999999995</v>
      </c>
      <c r="Q44" s="101">
        <f t="shared" si="6"/>
        <v>94715.24</v>
      </c>
      <c r="R44" s="101">
        <f t="shared" si="3"/>
        <v>-24310.48000000001</v>
      </c>
      <c r="S44" s="101">
        <f t="shared" si="4"/>
        <v>0</v>
      </c>
      <c r="T44" s="103">
        <f t="shared" si="5"/>
        <v>0</v>
      </c>
    </row>
    <row r="45" spans="2:20" x14ac:dyDescent="0.25">
      <c r="B45" s="99">
        <v>41</v>
      </c>
      <c r="C45" s="100" t="s">
        <v>1067</v>
      </c>
      <c r="D45" s="100">
        <v>137</v>
      </c>
      <c r="E45" s="100" t="s">
        <v>1184</v>
      </c>
      <c r="F45" s="101">
        <v>5.15</v>
      </c>
      <c r="G45" s="101">
        <v>70463.210000000006</v>
      </c>
      <c r="H45" s="100" t="s">
        <v>1165</v>
      </c>
      <c r="I45" s="101">
        <v>4.6500000000000004</v>
      </c>
      <c r="J45" s="101">
        <v>63796.79</v>
      </c>
      <c r="K45" s="100" t="s">
        <v>1166</v>
      </c>
      <c r="L45" s="100">
        <v>6666.42</v>
      </c>
      <c r="M45" s="102">
        <v>9.4000000000000004E-3</v>
      </c>
      <c r="N45" s="100"/>
      <c r="O45" s="101">
        <f t="shared" si="0"/>
        <v>6666.4200000000055</v>
      </c>
      <c r="P45" s="101">
        <f t="shared" si="1"/>
        <v>70463.210000000006</v>
      </c>
      <c r="Q45" s="101">
        <f t="shared" si="6"/>
        <v>63796.790000000008</v>
      </c>
      <c r="R45" s="101">
        <f t="shared" si="3"/>
        <v>6666.4199999999983</v>
      </c>
      <c r="S45" s="101">
        <f t="shared" si="4"/>
        <v>0</v>
      </c>
      <c r="T45" s="103">
        <f t="shared" si="5"/>
        <v>0</v>
      </c>
    </row>
    <row r="46" spans="2:20" x14ac:dyDescent="0.25">
      <c r="B46" s="99">
        <v>42</v>
      </c>
      <c r="C46" s="100" t="s">
        <v>1121</v>
      </c>
      <c r="D46" s="100">
        <v>25</v>
      </c>
      <c r="E46" s="100" t="s">
        <v>1185</v>
      </c>
      <c r="F46" s="101">
        <v>27.15</v>
      </c>
      <c r="G46" s="101">
        <v>67858.25</v>
      </c>
      <c r="H46" s="100" t="s">
        <v>1165</v>
      </c>
      <c r="I46" s="101">
        <v>24.9</v>
      </c>
      <c r="J46" s="101">
        <v>62266.75</v>
      </c>
      <c r="K46" s="100" t="s">
        <v>1166</v>
      </c>
      <c r="L46" s="100">
        <v>5591.5</v>
      </c>
      <c r="M46" s="102">
        <v>8.6E-3</v>
      </c>
      <c r="N46" s="100"/>
      <c r="O46" s="101">
        <f t="shared" si="0"/>
        <v>5591.5</v>
      </c>
      <c r="P46" s="101">
        <f t="shared" si="1"/>
        <v>67858.25</v>
      </c>
      <c r="Q46" s="101">
        <f t="shared" si="6"/>
        <v>62266.75</v>
      </c>
      <c r="R46" s="101">
        <f t="shared" si="3"/>
        <v>5591.5</v>
      </c>
      <c r="S46" s="101">
        <f t="shared" si="4"/>
        <v>0</v>
      </c>
      <c r="T46" s="103">
        <f t="shared" si="5"/>
        <v>0</v>
      </c>
    </row>
    <row r="47" spans="2:20" x14ac:dyDescent="0.25">
      <c r="B47" s="99">
        <v>43</v>
      </c>
      <c r="C47" s="100" t="s">
        <v>1121</v>
      </c>
      <c r="D47" s="100">
        <v>23</v>
      </c>
      <c r="E47" s="100" t="s">
        <v>1186</v>
      </c>
      <c r="F47" s="101">
        <v>28.6</v>
      </c>
      <c r="G47" s="101">
        <v>65764.59</v>
      </c>
      <c r="H47" s="100" t="s">
        <v>1165</v>
      </c>
      <c r="I47" s="101">
        <v>21.85</v>
      </c>
      <c r="J47" s="101">
        <v>50270.41</v>
      </c>
      <c r="K47" s="100" t="s">
        <v>1166</v>
      </c>
      <c r="L47" s="100">
        <v>15494.18</v>
      </c>
      <c r="M47" s="102">
        <v>2.5899999999999999E-2</v>
      </c>
      <c r="N47" s="100"/>
      <c r="O47" s="101">
        <f t="shared" si="0"/>
        <v>15494.179999999993</v>
      </c>
      <c r="P47" s="101">
        <f t="shared" si="1"/>
        <v>65764.59</v>
      </c>
      <c r="Q47" s="101">
        <f t="shared" si="6"/>
        <v>50270.41</v>
      </c>
      <c r="R47" s="101">
        <f t="shared" si="3"/>
        <v>15494.179999999993</v>
      </c>
      <c r="S47" s="101">
        <f t="shared" si="4"/>
        <v>0</v>
      </c>
      <c r="T47" s="103">
        <f t="shared" si="5"/>
        <v>0</v>
      </c>
    </row>
    <row r="48" spans="2:20" x14ac:dyDescent="0.25">
      <c r="B48" s="99">
        <v>44</v>
      </c>
      <c r="C48" s="100" t="s">
        <v>1067</v>
      </c>
      <c r="D48" s="100">
        <v>136</v>
      </c>
      <c r="E48" s="100" t="s">
        <v>1187</v>
      </c>
      <c r="F48" s="101">
        <v>5</v>
      </c>
      <c r="G48" s="101">
        <v>67908.88</v>
      </c>
      <c r="H48" s="100" t="s">
        <v>1165</v>
      </c>
      <c r="I48" s="101">
        <v>4.3499999999999996</v>
      </c>
      <c r="J48" s="101">
        <v>59251.12</v>
      </c>
      <c r="K48" s="100" t="s">
        <v>1166</v>
      </c>
      <c r="L48" s="100">
        <v>8657.76</v>
      </c>
      <c r="M48" s="102">
        <v>1.2500000000000001E-2</v>
      </c>
      <c r="N48" s="100"/>
      <c r="O48" s="101">
        <f t="shared" si="0"/>
        <v>8657.760000000002</v>
      </c>
      <c r="P48" s="101">
        <f t="shared" si="1"/>
        <v>67908.88</v>
      </c>
      <c r="Q48" s="101">
        <f t="shared" si="6"/>
        <v>59251.119999999995</v>
      </c>
      <c r="R48" s="101">
        <f t="shared" si="3"/>
        <v>8657.7600000000093</v>
      </c>
      <c r="S48" s="101">
        <f t="shared" si="4"/>
        <v>0</v>
      </c>
      <c r="T48" s="103">
        <f t="shared" si="5"/>
        <v>0</v>
      </c>
    </row>
    <row r="49" spans="2:20" x14ac:dyDescent="0.25">
      <c r="B49" s="99">
        <v>45</v>
      </c>
      <c r="C49" s="100" t="s">
        <v>1079</v>
      </c>
      <c r="D49" s="100">
        <v>12</v>
      </c>
      <c r="E49" s="100" t="s">
        <v>1188</v>
      </c>
      <c r="F49" s="101">
        <v>55.4</v>
      </c>
      <c r="G49" s="101">
        <v>66471.960000000006</v>
      </c>
      <c r="H49" s="100" t="s">
        <v>1165</v>
      </c>
      <c r="I49" s="101">
        <v>54</v>
      </c>
      <c r="J49" s="101">
        <v>64808.04</v>
      </c>
      <c r="K49" s="100" t="s">
        <v>1166</v>
      </c>
      <c r="L49" s="100">
        <v>1663.92</v>
      </c>
      <c r="M49" s="102">
        <v>2.2000000000000001E-3</v>
      </c>
      <c r="N49" s="100"/>
      <c r="O49" s="101">
        <f t="shared" si="0"/>
        <v>1663.9200000000055</v>
      </c>
      <c r="P49" s="101">
        <f t="shared" si="1"/>
        <v>66471.960000000006</v>
      </c>
      <c r="Q49" s="101">
        <f t="shared" si="6"/>
        <v>64808.04</v>
      </c>
      <c r="R49" s="101">
        <f t="shared" si="3"/>
        <v>1663.9200000000055</v>
      </c>
      <c r="S49" s="101">
        <f t="shared" si="4"/>
        <v>-5.4569682106375694E-12</v>
      </c>
      <c r="T49" s="103">
        <f t="shared" si="5"/>
        <v>-4.5474735088646412E-13</v>
      </c>
    </row>
    <row r="50" spans="2:20" x14ac:dyDescent="0.25">
      <c r="B50" s="99">
        <v>46</v>
      </c>
      <c r="C50" s="100" t="s">
        <v>1079</v>
      </c>
      <c r="D50" s="100">
        <v>13</v>
      </c>
      <c r="E50" s="100" t="s">
        <v>1162</v>
      </c>
      <c r="F50" s="101">
        <v>53.3</v>
      </c>
      <c r="G50" s="101">
        <v>69281.289999999994</v>
      </c>
      <c r="H50" s="100" t="s">
        <v>1165</v>
      </c>
      <c r="I50" s="101">
        <v>58</v>
      </c>
      <c r="J50" s="101">
        <v>75408.710000000006</v>
      </c>
      <c r="K50" s="100" t="s">
        <v>1166</v>
      </c>
      <c r="L50" s="100">
        <v>-6127.42</v>
      </c>
      <c r="M50" s="102">
        <v>-7.4999999999999997E-3</v>
      </c>
      <c r="N50" s="100"/>
      <c r="O50" s="101">
        <f t="shared" si="0"/>
        <v>-6127.4200000000128</v>
      </c>
      <c r="P50" s="101">
        <f t="shared" si="1"/>
        <v>69281.289999999994</v>
      </c>
      <c r="Q50" s="101">
        <f t="shared" si="6"/>
        <v>75408.710000000006</v>
      </c>
      <c r="R50" s="101">
        <f t="shared" si="3"/>
        <v>-6127.4200000000128</v>
      </c>
      <c r="S50" s="101">
        <f t="shared" si="4"/>
        <v>1.2732925824820995E-11</v>
      </c>
      <c r="T50" s="103">
        <f t="shared" si="5"/>
        <v>9.7945583267853806E-13</v>
      </c>
    </row>
    <row r="51" spans="2:20" x14ac:dyDescent="0.25">
      <c r="B51" s="99">
        <v>47</v>
      </c>
      <c r="C51" s="100" t="s">
        <v>1079</v>
      </c>
      <c r="D51" s="100">
        <v>12</v>
      </c>
      <c r="E51" s="100" t="s">
        <v>1189</v>
      </c>
      <c r="F51" s="101">
        <v>56.5</v>
      </c>
      <c r="G51" s="101">
        <v>67791.960000000006</v>
      </c>
      <c r="H51" s="100" t="s">
        <v>1165</v>
      </c>
      <c r="I51" s="101">
        <v>61</v>
      </c>
      <c r="J51" s="101">
        <v>73208.039999999994</v>
      </c>
      <c r="K51" s="100" t="s">
        <v>1166</v>
      </c>
      <c r="L51" s="100">
        <v>-5416.08</v>
      </c>
      <c r="M51" s="102">
        <v>-7.1000000000000004E-3</v>
      </c>
      <c r="N51" s="100"/>
      <c r="O51" s="101">
        <f t="shared" si="0"/>
        <v>-5416.0799999999872</v>
      </c>
      <c r="P51" s="101">
        <f t="shared" si="1"/>
        <v>67791.960000000006</v>
      </c>
      <c r="Q51" s="101">
        <f t="shared" si="6"/>
        <v>73208.039999999994</v>
      </c>
      <c r="R51" s="101">
        <f t="shared" si="3"/>
        <v>-5416.0799999999872</v>
      </c>
      <c r="S51" s="101">
        <f t="shared" si="4"/>
        <v>-1.2732925824820995E-11</v>
      </c>
      <c r="T51" s="103">
        <f t="shared" si="5"/>
        <v>-1.0610771520684163E-12</v>
      </c>
    </row>
    <row r="52" spans="2:20" ht="15.75" thickBot="1" x14ac:dyDescent="0.3">
      <c r="B52" s="104">
        <v>48</v>
      </c>
      <c r="C52" s="105" t="s">
        <v>993</v>
      </c>
      <c r="D52" s="105">
        <v>47</v>
      </c>
      <c r="E52" s="105" t="s">
        <v>1190</v>
      </c>
      <c r="F52" s="106">
        <v>14.95</v>
      </c>
      <c r="G52" s="106">
        <v>70233.509999999995</v>
      </c>
      <c r="H52" s="105" t="s">
        <v>1165</v>
      </c>
      <c r="I52" s="106">
        <v>17.649999999999999</v>
      </c>
      <c r="J52" s="106">
        <v>82986.490000000005</v>
      </c>
      <c r="K52" s="105" t="s">
        <v>1166</v>
      </c>
      <c r="L52" s="105">
        <v>-12752.98</v>
      </c>
      <c r="M52" s="107">
        <v>-1.7000000000000001E-2</v>
      </c>
      <c r="N52" s="105"/>
      <c r="O52" s="106">
        <f t="shared" si="0"/>
        <v>-12752.98000000001</v>
      </c>
      <c r="P52" s="106">
        <f t="shared" si="1"/>
        <v>70233.509999999995</v>
      </c>
      <c r="Q52" s="106">
        <f t="shared" si="6"/>
        <v>82986.490000000005</v>
      </c>
      <c r="R52" s="106">
        <f t="shared" si="3"/>
        <v>-12752.98000000001</v>
      </c>
      <c r="S52" s="106">
        <f t="shared" si="4"/>
        <v>0</v>
      </c>
      <c r="T52" s="108">
        <f t="shared" si="5"/>
        <v>0</v>
      </c>
    </row>
    <row r="53" spans="2:20" x14ac:dyDescent="0.25">
      <c r="B53" s="94">
        <v>49</v>
      </c>
      <c r="C53" s="95" t="s">
        <v>392</v>
      </c>
      <c r="D53" s="95">
        <v>7</v>
      </c>
      <c r="E53" s="95" t="s">
        <v>393</v>
      </c>
      <c r="F53" s="96">
        <v>19.8</v>
      </c>
      <c r="G53" s="96">
        <v>13860</v>
      </c>
      <c r="H53" s="95" t="s">
        <v>394</v>
      </c>
      <c r="I53" s="96">
        <v>62.7</v>
      </c>
      <c r="J53" s="96">
        <v>43894.69</v>
      </c>
      <c r="K53" s="95" t="s">
        <v>395</v>
      </c>
      <c r="L53" s="95">
        <v>-30039.38</v>
      </c>
      <c r="M53" s="97">
        <v>-0.20419999999999999</v>
      </c>
      <c r="N53" s="95"/>
      <c r="O53" s="96">
        <f t="shared" si="0"/>
        <v>-30034.690000000002</v>
      </c>
      <c r="P53" s="96">
        <f t="shared" si="1"/>
        <v>13855.31</v>
      </c>
      <c r="Q53" s="96">
        <f t="shared" si="6"/>
        <v>43894.69</v>
      </c>
      <c r="R53" s="96">
        <f t="shared" si="3"/>
        <v>-30039.380000000005</v>
      </c>
      <c r="S53" s="96">
        <f t="shared" si="4"/>
        <v>0</v>
      </c>
      <c r="T53" s="98">
        <f t="shared" si="5"/>
        <v>0</v>
      </c>
    </row>
    <row r="54" spans="2:20" x14ac:dyDescent="0.25">
      <c r="B54" s="99">
        <v>50</v>
      </c>
      <c r="C54" s="100" t="s">
        <v>589</v>
      </c>
      <c r="D54" s="100">
        <v>25</v>
      </c>
      <c r="E54" s="100" t="s">
        <v>573</v>
      </c>
      <c r="F54" s="101">
        <v>10.9</v>
      </c>
      <c r="G54" s="101">
        <v>27250</v>
      </c>
      <c r="H54" s="100" t="s">
        <v>590</v>
      </c>
      <c r="I54" s="101">
        <v>15</v>
      </c>
      <c r="J54" s="101">
        <v>37516.75</v>
      </c>
      <c r="K54" s="100" t="s">
        <v>395</v>
      </c>
      <c r="L54" s="100">
        <v>-10283.5</v>
      </c>
      <c r="M54" s="102">
        <v>-3.7699999999999997E-2</v>
      </c>
      <c r="N54" s="100"/>
      <c r="O54" s="101">
        <f t="shared" si="0"/>
        <v>-10266.75</v>
      </c>
      <c r="P54" s="101">
        <f t="shared" si="1"/>
        <v>27233.25</v>
      </c>
      <c r="Q54" s="101">
        <f t="shared" si="6"/>
        <v>37516.75</v>
      </c>
      <c r="R54" s="101">
        <f t="shared" si="3"/>
        <v>-10283.5</v>
      </c>
      <c r="S54" s="101">
        <f t="shared" si="4"/>
        <v>0</v>
      </c>
      <c r="T54" s="103">
        <f t="shared" si="5"/>
        <v>0</v>
      </c>
    </row>
    <row r="55" spans="2:20" x14ac:dyDescent="0.25">
      <c r="B55" s="99">
        <v>51</v>
      </c>
      <c r="C55" s="100" t="s">
        <v>589</v>
      </c>
      <c r="D55" s="100">
        <v>17</v>
      </c>
      <c r="E55" s="100" t="s">
        <v>591</v>
      </c>
      <c r="F55" s="101">
        <v>16.2</v>
      </c>
      <c r="G55" s="101">
        <v>27540</v>
      </c>
      <c r="H55" s="100" t="s">
        <v>590</v>
      </c>
      <c r="I55" s="101">
        <v>17.95</v>
      </c>
      <c r="J55" s="101">
        <v>30526.39</v>
      </c>
      <c r="K55" s="100" t="s">
        <v>395</v>
      </c>
      <c r="L55" s="100">
        <v>-2997.78</v>
      </c>
      <c r="M55" s="102">
        <v>-1.78E-2</v>
      </c>
      <c r="N55" s="100"/>
      <c r="O55" s="101">
        <f t="shared" si="0"/>
        <v>-2986.3899999999994</v>
      </c>
      <c r="P55" s="101">
        <f t="shared" si="1"/>
        <v>27528.609999999997</v>
      </c>
      <c r="Q55" s="101">
        <f t="shared" si="6"/>
        <v>30526.389999999996</v>
      </c>
      <c r="R55" s="101">
        <f t="shared" si="3"/>
        <v>-2997.7799999999988</v>
      </c>
      <c r="S55" s="101">
        <f t="shared" si="4"/>
        <v>0</v>
      </c>
      <c r="T55" s="103">
        <f t="shared" si="5"/>
        <v>0</v>
      </c>
    </row>
    <row r="56" spans="2:20" x14ac:dyDescent="0.25">
      <c r="B56" s="99">
        <v>52</v>
      </c>
      <c r="C56" s="100" t="s">
        <v>589</v>
      </c>
      <c r="D56" s="100">
        <v>15</v>
      </c>
      <c r="E56" s="100" t="s">
        <v>592</v>
      </c>
      <c r="F56" s="101">
        <v>18.05</v>
      </c>
      <c r="G56" s="101">
        <v>27075</v>
      </c>
      <c r="H56" s="100" t="s">
        <v>590</v>
      </c>
      <c r="I56" s="101">
        <v>20.5</v>
      </c>
      <c r="J56" s="101">
        <v>30760.05</v>
      </c>
      <c r="K56" s="100" t="s">
        <v>395</v>
      </c>
      <c r="L56" s="100">
        <v>-3695.1</v>
      </c>
      <c r="M56" s="102">
        <v>-2.4199999999999999E-2</v>
      </c>
      <c r="N56" s="100"/>
      <c r="O56" s="101">
        <f t="shared" si="0"/>
        <v>-3685.0499999999993</v>
      </c>
      <c r="P56" s="101">
        <f t="shared" si="1"/>
        <v>27064.95</v>
      </c>
      <c r="Q56" s="101">
        <f t="shared" si="6"/>
        <v>30760.05</v>
      </c>
      <c r="R56" s="101">
        <f t="shared" si="3"/>
        <v>-3695.0999999999985</v>
      </c>
      <c r="S56" s="101">
        <f t="shared" si="4"/>
        <v>0</v>
      </c>
      <c r="T56" s="103">
        <f t="shared" si="5"/>
        <v>0</v>
      </c>
    </row>
    <row r="57" spans="2:20" x14ac:dyDescent="0.25">
      <c r="B57" s="99">
        <v>53</v>
      </c>
      <c r="C57" s="100" t="s">
        <v>589</v>
      </c>
      <c r="D57" s="100">
        <v>21</v>
      </c>
      <c r="E57" s="100" t="s">
        <v>593</v>
      </c>
      <c r="F57" s="101">
        <v>13.25</v>
      </c>
      <c r="G57" s="101">
        <v>27825</v>
      </c>
      <c r="H57" s="100" t="s">
        <v>590</v>
      </c>
      <c r="I57" s="101">
        <v>15.35</v>
      </c>
      <c r="J57" s="101">
        <v>32249.07</v>
      </c>
      <c r="K57" s="100" t="s">
        <v>395</v>
      </c>
      <c r="L57" s="100">
        <v>-4438.1400000000003</v>
      </c>
      <c r="M57" s="102">
        <v>-2.18E-2</v>
      </c>
      <c r="N57" s="100"/>
      <c r="O57" s="101">
        <f t="shared" si="0"/>
        <v>-4424.07</v>
      </c>
      <c r="P57" s="101">
        <f t="shared" si="1"/>
        <v>27810.93</v>
      </c>
      <c r="Q57" s="101">
        <f t="shared" si="6"/>
        <v>32249.069999999996</v>
      </c>
      <c r="R57" s="101">
        <f t="shared" si="3"/>
        <v>-4438.1399999999958</v>
      </c>
      <c r="S57" s="101">
        <f t="shared" si="4"/>
        <v>0</v>
      </c>
      <c r="T57" s="103">
        <f t="shared" si="5"/>
        <v>0</v>
      </c>
    </row>
    <row r="58" spans="2:20" x14ac:dyDescent="0.25">
      <c r="B58" s="99">
        <v>54</v>
      </c>
      <c r="C58" s="100" t="s">
        <v>589</v>
      </c>
      <c r="D58" s="100">
        <v>18</v>
      </c>
      <c r="E58" s="100" t="s">
        <v>580</v>
      </c>
      <c r="F58" s="101">
        <v>16.25</v>
      </c>
      <c r="G58" s="101">
        <v>29250</v>
      </c>
      <c r="H58" s="100" t="s">
        <v>590</v>
      </c>
      <c r="I58" s="101">
        <v>23.35</v>
      </c>
      <c r="J58" s="101">
        <v>42042.06</v>
      </c>
      <c r="K58" s="100" t="s">
        <v>395</v>
      </c>
      <c r="L58" s="100">
        <v>-12804.12</v>
      </c>
      <c r="M58" s="102">
        <v>-6.54E-2</v>
      </c>
      <c r="N58" s="100"/>
      <c r="O58" s="101">
        <f t="shared" si="0"/>
        <v>-12792.059999999998</v>
      </c>
      <c r="P58" s="101">
        <f t="shared" si="1"/>
        <v>29237.94</v>
      </c>
      <c r="Q58" s="101">
        <f t="shared" si="6"/>
        <v>42042.06</v>
      </c>
      <c r="R58" s="101">
        <f t="shared" si="3"/>
        <v>-12804.119999999999</v>
      </c>
      <c r="S58" s="101">
        <f t="shared" si="4"/>
        <v>0</v>
      </c>
      <c r="T58" s="103">
        <f t="shared" si="5"/>
        <v>0</v>
      </c>
    </row>
    <row r="59" spans="2:20" x14ac:dyDescent="0.25">
      <c r="B59" s="99">
        <v>55</v>
      </c>
      <c r="C59" s="100" t="s">
        <v>589</v>
      </c>
      <c r="D59" s="100">
        <v>27</v>
      </c>
      <c r="E59" s="100" t="s">
        <v>582</v>
      </c>
      <c r="F59" s="101">
        <v>10.85</v>
      </c>
      <c r="G59" s="101">
        <v>29295</v>
      </c>
      <c r="H59" s="100" t="s">
        <v>590</v>
      </c>
      <c r="I59" s="101">
        <v>17.600000000000001</v>
      </c>
      <c r="J59" s="101">
        <v>47538.09</v>
      </c>
      <c r="K59" s="100" t="s">
        <v>395</v>
      </c>
      <c r="L59" s="100">
        <v>-18261.18</v>
      </c>
      <c r="M59" s="102">
        <v>-5.9299999999999999E-2</v>
      </c>
      <c r="N59" s="100"/>
      <c r="O59" s="101">
        <f t="shared" si="0"/>
        <v>-18243.089999999997</v>
      </c>
      <c r="P59" s="101">
        <f t="shared" si="1"/>
        <v>29276.91</v>
      </c>
      <c r="Q59" s="101">
        <f t="shared" si="6"/>
        <v>47538.090000000004</v>
      </c>
      <c r="R59" s="101">
        <f t="shared" si="3"/>
        <v>-18261.180000000004</v>
      </c>
      <c r="S59" s="101">
        <f t="shared" si="4"/>
        <v>0</v>
      </c>
      <c r="T59" s="103">
        <f t="shared" si="5"/>
        <v>0</v>
      </c>
    </row>
    <row r="60" spans="2:20" x14ac:dyDescent="0.25">
      <c r="B60" s="99">
        <v>56</v>
      </c>
      <c r="C60" s="100" t="s">
        <v>589</v>
      </c>
      <c r="D60" s="100">
        <v>19</v>
      </c>
      <c r="E60" s="100" t="s">
        <v>594</v>
      </c>
      <c r="F60" s="101">
        <v>16.5</v>
      </c>
      <c r="G60" s="101">
        <v>31350</v>
      </c>
      <c r="H60" s="100" t="s">
        <v>590</v>
      </c>
      <c r="I60" s="101">
        <v>31.7</v>
      </c>
      <c r="J60" s="101">
        <v>60242.73</v>
      </c>
      <c r="K60" s="100" t="s">
        <v>395</v>
      </c>
      <c r="L60" s="100">
        <v>-28905.46</v>
      </c>
      <c r="M60" s="102">
        <v>-0.12839999999999999</v>
      </c>
      <c r="N60" s="100"/>
      <c r="O60" s="101">
        <f t="shared" si="0"/>
        <v>-28892.730000000003</v>
      </c>
      <c r="P60" s="101">
        <f t="shared" si="1"/>
        <v>31337.27</v>
      </c>
      <c r="Q60" s="101">
        <f t="shared" si="6"/>
        <v>60242.729999999996</v>
      </c>
      <c r="R60" s="101">
        <f t="shared" si="3"/>
        <v>-28905.459999999995</v>
      </c>
      <c r="S60" s="101">
        <f t="shared" si="4"/>
        <v>0</v>
      </c>
      <c r="T60" s="103">
        <f t="shared" si="5"/>
        <v>0</v>
      </c>
    </row>
    <row r="61" spans="2:20" x14ac:dyDescent="0.25">
      <c r="B61" s="99">
        <v>57</v>
      </c>
      <c r="C61" s="100" t="s">
        <v>529</v>
      </c>
      <c r="D61" s="100">
        <v>21</v>
      </c>
      <c r="E61" s="100" t="s">
        <v>595</v>
      </c>
      <c r="F61" s="101">
        <v>13.8</v>
      </c>
      <c r="G61" s="101">
        <v>28980</v>
      </c>
      <c r="H61" s="100" t="s">
        <v>596</v>
      </c>
      <c r="I61" s="101">
        <v>28</v>
      </c>
      <c r="J61" s="101">
        <v>58814.07</v>
      </c>
      <c r="K61" s="100" t="s">
        <v>395</v>
      </c>
      <c r="L61" s="100">
        <v>-29848.14</v>
      </c>
      <c r="M61" s="102">
        <v>-9.7199999999999995E-2</v>
      </c>
      <c r="N61" s="100"/>
      <c r="O61" s="101">
        <f t="shared" si="0"/>
        <v>-29834.07</v>
      </c>
      <c r="P61" s="101">
        <f t="shared" si="1"/>
        <v>28965.93</v>
      </c>
      <c r="Q61" s="101">
        <f t="shared" si="6"/>
        <v>58814.07</v>
      </c>
      <c r="R61" s="101">
        <f t="shared" si="3"/>
        <v>-29848.14</v>
      </c>
      <c r="S61" s="101">
        <f t="shared" si="4"/>
        <v>0</v>
      </c>
      <c r="T61" s="103">
        <f t="shared" si="5"/>
        <v>0</v>
      </c>
    </row>
    <row r="62" spans="2:20" x14ac:dyDescent="0.25">
      <c r="B62" s="99">
        <v>58</v>
      </c>
      <c r="C62" s="100" t="s">
        <v>529</v>
      </c>
      <c r="D62" s="100">
        <v>18</v>
      </c>
      <c r="E62" s="100" t="s">
        <v>597</v>
      </c>
      <c r="F62" s="101">
        <v>16.8</v>
      </c>
      <c r="G62" s="101">
        <v>30240</v>
      </c>
      <c r="H62" s="100" t="s">
        <v>596</v>
      </c>
      <c r="I62" s="101">
        <v>32.549999999999997</v>
      </c>
      <c r="J62" s="101">
        <v>58602.06</v>
      </c>
      <c r="K62" s="100" t="s">
        <v>395</v>
      </c>
      <c r="L62" s="100">
        <v>-28374.12</v>
      </c>
      <c r="M62" s="102">
        <v>-0.10639999999999999</v>
      </c>
      <c r="N62" s="100"/>
      <c r="O62" s="101">
        <f t="shared" si="0"/>
        <v>-28362.059999999998</v>
      </c>
      <c r="P62" s="101">
        <f t="shared" si="1"/>
        <v>30227.940000000002</v>
      </c>
      <c r="Q62" s="101">
        <f t="shared" si="6"/>
        <v>58602.06</v>
      </c>
      <c r="R62" s="101">
        <f t="shared" si="3"/>
        <v>-28374.119999999995</v>
      </c>
      <c r="S62" s="101">
        <f t="shared" si="4"/>
        <v>0</v>
      </c>
      <c r="T62" s="103">
        <f t="shared" si="5"/>
        <v>0</v>
      </c>
    </row>
    <row r="63" spans="2:20" x14ac:dyDescent="0.25">
      <c r="B63" s="99">
        <v>59</v>
      </c>
      <c r="C63" s="100" t="s">
        <v>529</v>
      </c>
      <c r="D63" s="100">
        <v>22</v>
      </c>
      <c r="E63" s="100" t="s">
        <v>598</v>
      </c>
      <c r="F63" s="101">
        <v>14</v>
      </c>
      <c r="G63" s="101">
        <v>30800</v>
      </c>
      <c r="H63" s="100" t="s">
        <v>596</v>
      </c>
      <c r="I63" s="101">
        <v>29.5</v>
      </c>
      <c r="J63" s="101">
        <v>64914.74</v>
      </c>
      <c r="K63" s="100" t="s">
        <v>395</v>
      </c>
      <c r="L63" s="100">
        <v>-34129.480000000003</v>
      </c>
      <c r="M63" s="102">
        <v>-0.10630000000000001</v>
      </c>
      <c r="N63" s="100"/>
      <c r="O63" s="101">
        <f t="shared" si="0"/>
        <v>-34114.74</v>
      </c>
      <c r="P63" s="101">
        <f t="shared" si="1"/>
        <v>30785.26</v>
      </c>
      <c r="Q63" s="101">
        <f t="shared" si="6"/>
        <v>64914.74</v>
      </c>
      <c r="R63" s="101">
        <f t="shared" si="3"/>
        <v>-34129.479999999996</v>
      </c>
      <c r="S63" s="101">
        <f t="shared" si="4"/>
        <v>0</v>
      </c>
      <c r="T63" s="103">
        <f t="shared" si="5"/>
        <v>0</v>
      </c>
    </row>
    <row r="64" spans="2:20" x14ac:dyDescent="0.25">
      <c r="B64" s="99">
        <v>60</v>
      </c>
      <c r="C64" s="100" t="s">
        <v>529</v>
      </c>
      <c r="D64" s="100">
        <v>21</v>
      </c>
      <c r="E64" s="100" t="s">
        <v>599</v>
      </c>
      <c r="F64" s="101">
        <v>14.15</v>
      </c>
      <c r="G64" s="101">
        <v>29715</v>
      </c>
      <c r="H64" s="100" t="s">
        <v>596</v>
      </c>
      <c r="I64" s="101">
        <v>30.95</v>
      </c>
      <c r="J64" s="101">
        <v>65009.07</v>
      </c>
      <c r="K64" s="100" t="s">
        <v>395</v>
      </c>
      <c r="L64" s="100">
        <v>-35308.14</v>
      </c>
      <c r="M64" s="102">
        <v>-0.1115</v>
      </c>
      <c r="N64" s="100"/>
      <c r="O64" s="101">
        <f t="shared" si="0"/>
        <v>-35294.07</v>
      </c>
      <c r="P64" s="101">
        <f t="shared" si="1"/>
        <v>29700.930000000004</v>
      </c>
      <c r="Q64" s="101">
        <f t="shared" si="6"/>
        <v>65009.069999999992</v>
      </c>
      <c r="R64" s="101">
        <f t="shared" si="3"/>
        <v>-35308.139999999985</v>
      </c>
      <c r="S64" s="101">
        <f t="shared" si="4"/>
        <v>0</v>
      </c>
      <c r="T64" s="103">
        <f t="shared" si="5"/>
        <v>0</v>
      </c>
    </row>
    <row r="65" spans="2:20" x14ac:dyDescent="0.25">
      <c r="B65" s="99">
        <v>61</v>
      </c>
      <c r="C65" s="100" t="s">
        <v>529</v>
      </c>
      <c r="D65" s="100">
        <v>23</v>
      </c>
      <c r="E65" s="100" t="s">
        <v>600</v>
      </c>
      <c r="F65" s="101">
        <v>13</v>
      </c>
      <c r="G65" s="101">
        <v>29900</v>
      </c>
      <c r="H65" s="100" t="s">
        <v>596</v>
      </c>
      <c r="I65" s="101">
        <v>26.9</v>
      </c>
      <c r="J65" s="101">
        <v>61885.41</v>
      </c>
      <c r="K65" s="100" t="s">
        <v>395</v>
      </c>
      <c r="L65" s="100">
        <v>-32000.82</v>
      </c>
      <c r="M65" s="102">
        <v>-9.8000000000000004E-2</v>
      </c>
      <c r="N65" s="100"/>
      <c r="O65" s="101">
        <f t="shared" si="0"/>
        <v>-31985.410000000003</v>
      </c>
      <c r="P65" s="101">
        <f t="shared" si="1"/>
        <v>29884.59</v>
      </c>
      <c r="Q65" s="101">
        <f t="shared" si="6"/>
        <v>61885.409999999996</v>
      </c>
      <c r="R65" s="101">
        <f t="shared" si="3"/>
        <v>-32000.819999999996</v>
      </c>
      <c r="S65" s="101">
        <f t="shared" si="4"/>
        <v>0</v>
      </c>
      <c r="T65" s="103">
        <f t="shared" si="5"/>
        <v>0</v>
      </c>
    </row>
    <row r="66" spans="2:20" x14ac:dyDescent="0.25">
      <c r="B66" s="99">
        <v>62</v>
      </c>
      <c r="C66" s="100" t="s">
        <v>581</v>
      </c>
      <c r="D66" s="100">
        <v>51</v>
      </c>
      <c r="E66" s="100" t="s">
        <v>603</v>
      </c>
      <c r="F66" s="101">
        <v>5.3</v>
      </c>
      <c r="G66" s="101">
        <v>27030</v>
      </c>
      <c r="H66" s="100" t="s">
        <v>604</v>
      </c>
      <c r="I66" s="101">
        <v>5.0999999999999996</v>
      </c>
      <c r="J66" s="101">
        <v>26044.17</v>
      </c>
      <c r="K66" s="100" t="s">
        <v>395</v>
      </c>
      <c r="L66" s="100">
        <v>951.66</v>
      </c>
      <c r="M66" s="102">
        <v>0.01</v>
      </c>
      <c r="N66" s="100"/>
      <c r="O66" s="101">
        <f t="shared" si="0"/>
        <v>985.83000000000175</v>
      </c>
      <c r="P66" s="101">
        <f t="shared" si="1"/>
        <v>26995.83</v>
      </c>
      <c r="Q66" s="101">
        <f t="shared" si="6"/>
        <v>26044.169999999995</v>
      </c>
      <c r="R66" s="101">
        <f t="shared" si="3"/>
        <v>951.66000000000713</v>
      </c>
      <c r="S66" s="101">
        <f t="shared" si="4"/>
        <v>-7.1622707764618099E-12</v>
      </c>
      <c r="T66" s="103">
        <f t="shared" si="5"/>
        <v>-1.4043668189140804E-13</v>
      </c>
    </row>
    <row r="67" spans="2:20" x14ac:dyDescent="0.25">
      <c r="B67" s="99">
        <v>63</v>
      </c>
      <c r="C67" s="100" t="s">
        <v>581</v>
      </c>
      <c r="D67" s="100">
        <v>59</v>
      </c>
      <c r="E67" s="100" t="s">
        <v>605</v>
      </c>
      <c r="F67" s="101">
        <v>4.7</v>
      </c>
      <c r="G67" s="101">
        <v>27730</v>
      </c>
      <c r="H67" s="100" t="s">
        <v>604</v>
      </c>
      <c r="I67" s="101">
        <v>4.7</v>
      </c>
      <c r="J67" s="101">
        <v>27769.53</v>
      </c>
      <c r="K67" s="100" t="s">
        <v>395</v>
      </c>
      <c r="L67" s="100">
        <v>-79.06</v>
      </c>
      <c r="M67" s="102">
        <v>-6.9999999999999999E-4</v>
      </c>
      <c r="N67" s="100"/>
      <c r="O67" s="101">
        <f t="shared" si="0"/>
        <v>-39.529999999998836</v>
      </c>
      <c r="P67" s="101">
        <f t="shared" si="1"/>
        <v>27690.47</v>
      </c>
      <c r="Q67" s="101">
        <f t="shared" si="6"/>
        <v>27769.53</v>
      </c>
      <c r="R67" s="101">
        <f t="shared" si="3"/>
        <v>-79.059999999997672</v>
      </c>
      <c r="S67" s="101">
        <f t="shared" si="4"/>
        <v>-2.3305801732931286E-12</v>
      </c>
      <c r="T67" s="103">
        <f t="shared" si="5"/>
        <v>-3.9501358869375063E-14</v>
      </c>
    </row>
    <row r="68" spans="2:20" x14ac:dyDescent="0.25">
      <c r="B68" s="99">
        <v>64</v>
      </c>
      <c r="C68" s="100" t="s">
        <v>581</v>
      </c>
      <c r="D68" s="100">
        <v>79</v>
      </c>
      <c r="E68" s="100" t="s">
        <v>575</v>
      </c>
      <c r="F68" s="101">
        <v>3.6</v>
      </c>
      <c r="G68" s="101">
        <v>28440</v>
      </c>
      <c r="H68" s="100" t="s">
        <v>604</v>
      </c>
      <c r="I68" s="101">
        <v>4.2</v>
      </c>
      <c r="J68" s="101">
        <v>33232.93</v>
      </c>
      <c r="K68" s="100" t="s">
        <v>395</v>
      </c>
      <c r="L68" s="100">
        <v>-4845.8599999999997</v>
      </c>
      <c r="M68" s="102">
        <v>-3.3300000000000003E-2</v>
      </c>
      <c r="N68" s="100"/>
      <c r="O68" s="101">
        <f t="shared" si="0"/>
        <v>-4792.93</v>
      </c>
      <c r="P68" s="101">
        <f t="shared" si="1"/>
        <v>28387.070000000003</v>
      </c>
      <c r="Q68" s="101">
        <f t="shared" si="6"/>
        <v>33232.93</v>
      </c>
      <c r="R68" s="101">
        <f t="shared" si="3"/>
        <v>-4845.8599999999969</v>
      </c>
      <c r="S68" s="101">
        <f t="shared" si="4"/>
        <v>0</v>
      </c>
      <c r="T68" s="103">
        <f t="shared" si="5"/>
        <v>0</v>
      </c>
    </row>
    <row r="69" spans="2:20" x14ac:dyDescent="0.25">
      <c r="B69" s="99">
        <v>65</v>
      </c>
      <c r="C69" s="100" t="s">
        <v>581</v>
      </c>
      <c r="D69" s="100">
        <v>61</v>
      </c>
      <c r="E69" s="100" t="s">
        <v>578</v>
      </c>
      <c r="F69" s="101">
        <v>4.5999999999999996</v>
      </c>
      <c r="G69" s="101">
        <v>28060</v>
      </c>
      <c r="H69" s="100" t="s">
        <v>604</v>
      </c>
      <c r="I69" s="101">
        <v>5.7</v>
      </c>
      <c r="J69" s="101">
        <v>34810.870000000003</v>
      </c>
      <c r="K69" s="100" t="s">
        <v>395</v>
      </c>
      <c r="L69" s="100">
        <v>-6791.74</v>
      </c>
      <c r="M69" s="102">
        <v>-5.4600000000000003E-2</v>
      </c>
      <c r="N69" s="100"/>
      <c r="O69" s="101">
        <f t="shared" si="0"/>
        <v>-6750.8700000000026</v>
      </c>
      <c r="P69" s="101">
        <f t="shared" si="1"/>
        <v>28019.129999999997</v>
      </c>
      <c r="Q69" s="101">
        <f t="shared" si="6"/>
        <v>34810.870000000003</v>
      </c>
      <c r="R69" s="101">
        <f t="shared" si="3"/>
        <v>-6791.7400000000052</v>
      </c>
      <c r="S69" s="101">
        <f t="shared" si="4"/>
        <v>0</v>
      </c>
      <c r="T69" s="103">
        <f t="shared" si="5"/>
        <v>0</v>
      </c>
    </row>
    <row r="70" spans="2:20" x14ac:dyDescent="0.25">
      <c r="B70" s="99">
        <v>66</v>
      </c>
      <c r="C70" s="100" t="s">
        <v>581</v>
      </c>
      <c r="D70" s="100">
        <v>83</v>
      </c>
      <c r="E70" s="100" t="s">
        <v>606</v>
      </c>
      <c r="F70" s="101">
        <v>3.6</v>
      </c>
      <c r="G70" s="101">
        <v>29880</v>
      </c>
      <c r="H70" s="100" t="s">
        <v>604</v>
      </c>
      <c r="I70" s="101">
        <v>6.2</v>
      </c>
      <c r="J70" s="101">
        <v>51515.61</v>
      </c>
      <c r="K70" s="100" t="s">
        <v>395</v>
      </c>
      <c r="L70" s="100">
        <v>-21691.22</v>
      </c>
      <c r="M70" s="102">
        <v>-0.1167</v>
      </c>
      <c r="N70" s="100"/>
      <c r="O70" s="101">
        <f t="shared" ref="O70:O133" si="7">G70-J70</f>
        <v>-21635.61</v>
      </c>
      <c r="P70" s="101">
        <f t="shared" ref="P70:P133" si="8">F70*D70*100 - D70*0.67</f>
        <v>29824.39</v>
      </c>
      <c r="Q70" s="101">
        <f t="shared" si="6"/>
        <v>51515.61</v>
      </c>
      <c r="R70" s="101">
        <f t="shared" ref="R70:R133" si="9">P70-Q70</f>
        <v>-21691.22</v>
      </c>
      <c r="S70" s="101">
        <f t="shared" ref="S70:S133" si="10">L70-R70</f>
        <v>0</v>
      </c>
      <c r="T70" s="103">
        <f t="shared" ref="T70:T133" si="11">S70/D70</f>
        <v>0</v>
      </c>
    </row>
    <row r="71" spans="2:20" x14ac:dyDescent="0.25">
      <c r="B71" s="99">
        <v>67</v>
      </c>
      <c r="C71" s="100" t="s">
        <v>581</v>
      </c>
      <c r="D71" s="100">
        <v>63</v>
      </c>
      <c r="E71" s="100" t="s">
        <v>607</v>
      </c>
      <c r="F71" s="101">
        <v>4.8</v>
      </c>
      <c r="G71" s="101">
        <v>30240</v>
      </c>
      <c r="H71" s="100" t="s">
        <v>604</v>
      </c>
      <c r="I71" s="101">
        <v>7.8</v>
      </c>
      <c r="J71" s="101">
        <v>49182.21</v>
      </c>
      <c r="K71" s="100" t="s">
        <v>395</v>
      </c>
      <c r="L71" s="100">
        <v>-18984.419999999998</v>
      </c>
      <c r="M71" s="102">
        <v>-0.1338</v>
      </c>
      <c r="N71" s="100"/>
      <c r="O71" s="101">
        <f t="shared" si="7"/>
        <v>-18942.21</v>
      </c>
      <c r="P71" s="101">
        <f t="shared" si="8"/>
        <v>30197.789999999997</v>
      </c>
      <c r="Q71" s="101">
        <f t="shared" si="6"/>
        <v>49182.21</v>
      </c>
      <c r="R71" s="101">
        <f t="shared" si="9"/>
        <v>-18984.420000000002</v>
      </c>
      <c r="S71" s="101">
        <f t="shared" si="10"/>
        <v>0</v>
      </c>
      <c r="T71" s="103">
        <f t="shared" si="11"/>
        <v>0</v>
      </c>
    </row>
    <row r="72" spans="2:20" x14ac:dyDescent="0.25">
      <c r="B72" s="99">
        <v>68</v>
      </c>
      <c r="C72" s="100" t="s">
        <v>581</v>
      </c>
      <c r="D72" s="100">
        <v>68</v>
      </c>
      <c r="E72" s="100" t="s">
        <v>588</v>
      </c>
      <c r="F72" s="101">
        <v>4.5999999999999996</v>
      </c>
      <c r="G72" s="101">
        <v>31280</v>
      </c>
      <c r="H72" s="100" t="s">
        <v>604</v>
      </c>
      <c r="I72" s="101">
        <v>8</v>
      </c>
      <c r="J72" s="101">
        <v>54445.56</v>
      </c>
      <c r="K72" s="100" t="s">
        <v>395</v>
      </c>
      <c r="L72" s="100">
        <v>-23211.119999999999</v>
      </c>
      <c r="M72" s="102">
        <v>-0.14799999999999999</v>
      </c>
      <c r="N72" s="100"/>
      <c r="O72" s="101">
        <f t="shared" si="7"/>
        <v>-23165.559999999998</v>
      </c>
      <c r="P72" s="101">
        <f t="shared" si="8"/>
        <v>31234.439999999995</v>
      </c>
      <c r="Q72" s="101">
        <f t="shared" si="6"/>
        <v>54445.56</v>
      </c>
      <c r="R72" s="101">
        <f t="shared" si="9"/>
        <v>-23211.120000000003</v>
      </c>
      <c r="S72" s="101">
        <f t="shared" si="10"/>
        <v>0</v>
      </c>
      <c r="T72" s="103">
        <f t="shared" si="11"/>
        <v>0</v>
      </c>
    </row>
    <row r="73" spans="2:20" x14ac:dyDescent="0.25">
      <c r="B73" s="99">
        <v>69</v>
      </c>
      <c r="C73" s="100" t="s">
        <v>669</v>
      </c>
      <c r="D73" s="100">
        <v>12</v>
      </c>
      <c r="E73" s="100" t="s">
        <v>670</v>
      </c>
      <c r="F73" s="101">
        <v>29.4</v>
      </c>
      <c r="G73" s="101">
        <v>35280</v>
      </c>
      <c r="H73" s="100" t="s">
        <v>671</v>
      </c>
      <c r="I73" s="101">
        <v>57.15</v>
      </c>
      <c r="J73" s="101">
        <v>68588.039999999994</v>
      </c>
      <c r="K73" s="100" t="s">
        <v>395</v>
      </c>
      <c r="L73" s="100">
        <v>-33316.080000000002</v>
      </c>
      <c r="M73" s="102">
        <v>-0.1154</v>
      </c>
      <c r="N73" s="100"/>
      <c r="O73" s="101">
        <f t="shared" si="7"/>
        <v>-33308.039999999994</v>
      </c>
      <c r="P73" s="101">
        <f t="shared" si="8"/>
        <v>35271.959999999992</v>
      </c>
      <c r="Q73" s="101">
        <f t="shared" si="6"/>
        <v>68588.039999999994</v>
      </c>
      <c r="R73" s="101">
        <f t="shared" si="9"/>
        <v>-33316.080000000002</v>
      </c>
      <c r="S73" s="101">
        <f t="shared" si="10"/>
        <v>0</v>
      </c>
      <c r="T73" s="103">
        <f t="shared" si="11"/>
        <v>0</v>
      </c>
    </row>
    <row r="74" spans="2:20" x14ac:dyDescent="0.25">
      <c r="B74" s="99">
        <v>70</v>
      </c>
      <c r="C74" s="100" t="s">
        <v>669</v>
      </c>
      <c r="D74" s="100">
        <v>12</v>
      </c>
      <c r="E74" s="100" t="s">
        <v>672</v>
      </c>
      <c r="F74" s="101">
        <v>29.5</v>
      </c>
      <c r="G74" s="101">
        <v>35400</v>
      </c>
      <c r="H74" s="100" t="s">
        <v>671</v>
      </c>
      <c r="I74" s="101">
        <v>53.95</v>
      </c>
      <c r="J74" s="101">
        <v>64748.04</v>
      </c>
      <c r="K74" s="100" t="s">
        <v>395</v>
      </c>
      <c r="L74" s="100">
        <v>-29356.080000000002</v>
      </c>
      <c r="M74" s="102">
        <v>-0.1017</v>
      </c>
      <c r="N74" s="100"/>
      <c r="O74" s="101">
        <f t="shared" si="7"/>
        <v>-29348.04</v>
      </c>
      <c r="P74" s="101">
        <f t="shared" si="8"/>
        <v>35391.96</v>
      </c>
      <c r="Q74" s="101">
        <f t="shared" si="6"/>
        <v>64748.040000000008</v>
      </c>
      <c r="R74" s="101">
        <f t="shared" si="9"/>
        <v>-29356.080000000009</v>
      </c>
      <c r="S74" s="101">
        <f t="shared" si="10"/>
        <v>0</v>
      </c>
      <c r="T74" s="103">
        <f t="shared" si="11"/>
        <v>0</v>
      </c>
    </row>
    <row r="75" spans="2:20" x14ac:dyDescent="0.25">
      <c r="B75" s="99">
        <v>71</v>
      </c>
      <c r="C75" s="100" t="s">
        <v>669</v>
      </c>
      <c r="D75" s="100">
        <v>12</v>
      </c>
      <c r="E75" s="100" t="s">
        <v>673</v>
      </c>
      <c r="F75" s="101">
        <v>27.9</v>
      </c>
      <c r="G75" s="101">
        <v>33480</v>
      </c>
      <c r="H75" s="100" t="s">
        <v>671</v>
      </c>
      <c r="I75" s="101">
        <v>44.95</v>
      </c>
      <c r="J75" s="101">
        <v>53948.04</v>
      </c>
      <c r="K75" s="100" t="s">
        <v>395</v>
      </c>
      <c r="L75" s="100">
        <v>-20476.080000000002</v>
      </c>
      <c r="M75" s="102">
        <v>-7.6799999999999993E-2</v>
      </c>
      <c r="N75" s="100"/>
      <c r="O75" s="101">
        <f t="shared" si="7"/>
        <v>-20468.04</v>
      </c>
      <c r="P75" s="101">
        <f t="shared" si="8"/>
        <v>33471.959999999992</v>
      </c>
      <c r="Q75" s="101">
        <f t="shared" si="6"/>
        <v>53948.040000000008</v>
      </c>
      <c r="R75" s="101">
        <f t="shared" si="9"/>
        <v>-20476.080000000016</v>
      </c>
      <c r="S75" s="101">
        <f t="shared" si="10"/>
        <v>0</v>
      </c>
      <c r="T75" s="103">
        <f t="shared" si="11"/>
        <v>0</v>
      </c>
    </row>
    <row r="76" spans="2:20" x14ac:dyDescent="0.25">
      <c r="B76" s="99">
        <v>72</v>
      </c>
      <c r="C76" s="100" t="s">
        <v>589</v>
      </c>
      <c r="D76" s="100">
        <v>26</v>
      </c>
      <c r="E76" s="100" t="s">
        <v>690</v>
      </c>
      <c r="F76" s="101">
        <v>13.85</v>
      </c>
      <c r="G76" s="101">
        <v>36010</v>
      </c>
      <c r="H76" s="100" t="s">
        <v>691</v>
      </c>
      <c r="I76" s="101">
        <v>31.45</v>
      </c>
      <c r="J76" s="101">
        <v>81787.42</v>
      </c>
      <c r="K76" s="100" t="s">
        <v>395</v>
      </c>
      <c r="L76" s="100">
        <v>-45794.84</v>
      </c>
      <c r="M76" s="102">
        <v>-0.11650000000000001</v>
      </c>
      <c r="N76" s="100"/>
      <c r="O76" s="101">
        <f t="shared" si="7"/>
        <v>-45777.42</v>
      </c>
      <c r="P76" s="101">
        <f t="shared" si="8"/>
        <v>35992.58</v>
      </c>
      <c r="Q76" s="101">
        <f t="shared" si="6"/>
        <v>81787.42</v>
      </c>
      <c r="R76" s="101">
        <f t="shared" si="9"/>
        <v>-45794.84</v>
      </c>
      <c r="S76" s="101">
        <f t="shared" si="10"/>
        <v>0</v>
      </c>
      <c r="T76" s="103">
        <f t="shared" si="11"/>
        <v>0</v>
      </c>
    </row>
    <row r="77" spans="2:20" x14ac:dyDescent="0.25">
      <c r="B77" s="99">
        <v>73</v>
      </c>
      <c r="C77" s="100" t="s">
        <v>589</v>
      </c>
      <c r="D77" s="100">
        <v>21</v>
      </c>
      <c r="E77" s="100" t="s">
        <v>685</v>
      </c>
      <c r="F77" s="101">
        <v>17.899999999999999</v>
      </c>
      <c r="G77" s="101">
        <v>37590</v>
      </c>
      <c r="H77" s="100" t="s">
        <v>691</v>
      </c>
      <c r="I77" s="101">
        <v>27.1</v>
      </c>
      <c r="J77" s="101">
        <v>56924.07</v>
      </c>
      <c r="K77" s="100" t="s">
        <v>395</v>
      </c>
      <c r="L77" s="100">
        <v>-19348.14</v>
      </c>
      <c r="M77" s="102">
        <v>-6.9699999999999998E-2</v>
      </c>
      <c r="N77" s="100"/>
      <c r="O77" s="101">
        <f t="shared" si="7"/>
        <v>-19334.07</v>
      </c>
      <c r="P77" s="101">
        <f t="shared" si="8"/>
        <v>37575.93</v>
      </c>
      <c r="Q77" s="101">
        <f t="shared" si="6"/>
        <v>56924.07</v>
      </c>
      <c r="R77" s="101">
        <f t="shared" si="9"/>
        <v>-19348.14</v>
      </c>
      <c r="S77" s="101">
        <f t="shared" si="10"/>
        <v>0</v>
      </c>
      <c r="T77" s="103">
        <f t="shared" si="11"/>
        <v>0</v>
      </c>
    </row>
    <row r="78" spans="2:20" x14ac:dyDescent="0.25">
      <c r="B78" s="99">
        <v>74</v>
      </c>
      <c r="C78" s="100" t="s">
        <v>589</v>
      </c>
      <c r="D78" s="100">
        <v>25</v>
      </c>
      <c r="E78" s="100" t="s">
        <v>686</v>
      </c>
      <c r="F78" s="101">
        <v>15.55</v>
      </c>
      <c r="G78" s="101">
        <v>38875</v>
      </c>
      <c r="H78" s="100" t="s">
        <v>691</v>
      </c>
      <c r="I78" s="101">
        <v>24.1</v>
      </c>
      <c r="J78" s="101">
        <v>60266.75</v>
      </c>
      <c r="K78" s="100" t="s">
        <v>395</v>
      </c>
      <c r="L78" s="100">
        <v>-21408.5</v>
      </c>
      <c r="M78" s="102">
        <v>-6.6199999999999995E-2</v>
      </c>
      <c r="N78" s="100"/>
      <c r="O78" s="101">
        <f t="shared" si="7"/>
        <v>-21391.75</v>
      </c>
      <c r="P78" s="101">
        <f t="shared" si="8"/>
        <v>38858.25</v>
      </c>
      <c r="Q78" s="101">
        <f t="shared" si="6"/>
        <v>60266.75</v>
      </c>
      <c r="R78" s="101">
        <f t="shared" si="9"/>
        <v>-21408.5</v>
      </c>
      <c r="S78" s="101">
        <f t="shared" si="10"/>
        <v>0</v>
      </c>
      <c r="T78" s="103">
        <f t="shared" si="11"/>
        <v>0</v>
      </c>
    </row>
    <row r="79" spans="2:20" x14ac:dyDescent="0.25">
      <c r="B79" s="99">
        <v>75</v>
      </c>
      <c r="C79" s="100" t="s">
        <v>589</v>
      </c>
      <c r="D79" s="100">
        <v>28</v>
      </c>
      <c r="E79" s="100" t="s">
        <v>692</v>
      </c>
      <c r="F79" s="101">
        <v>13.8</v>
      </c>
      <c r="G79" s="101">
        <v>38640</v>
      </c>
      <c r="H79" s="100" t="s">
        <v>691</v>
      </c>
      <c r="I79" s="101">
        <v>22.2</v>
      </c>
      <c r="J79" s="101">
        <v>62178.76</v>
      </c>
      <c r="K79" s="100" t="s">
        <v>395</v>
      </c>
      <c r="L79" s="100">
        <v>-23557.52</v>
      </c>
      <c r="M79" s="102">
        <v>-6.6699999999999995E-2</v>
      </c>
      <c r="N79" s="100"/>
      <c r="O79" s="101">
        <f t="shared" si="7"/>
        <v>-23538.760000000002</v>
      </c>
      <c r="P79" s="101">
        <f t="shared" si="8"/>
        <v>38621.24</v>
      </c>
      <c r="Q79" s="101">
        <f t="shared" si="6"/>
        <v>62178.76</v>
      </c>
      <c r="R79" s="101">
        <f t="shared" si="9"/>
        <v>-23557.520000000004</v>
      </c>
      <c r="S79" s="101">
        <f t="shared" si="10"/>
        <v>0</v>
      </c>
      <c r="T79" s="103">
        <f t="shared" si="11"/>
        <v>0</v>
      </c>
    </row>
    <row r="80" spans="2:20" x14ac:dyDescent="0.25">
      <c r="B80" s="99">
        <v>76</v>
      </c>
      <c r="C80" s="100" t="s">
        <v>589</v>
      </c>
      <c r="D80" s="100">
        <v>27</v>
      </c>
      <c r="E80" s="100" t="s">
        <v>687</v>
      </c>
      <c r="F80" s="101">
        <v>14.2</v>
      </c>
      <c r="G80" s="101">
        <v>38340</v>
      </c>
      <c r="H80" s="100" t="s">
        <v>691</v>
      </c>
      <c r="I80" s="101">
        <v>22.4</v>
      </c>
      <c r="J80" s="101">
        <v>60498.09</v>
      </c>
      <c r="K80" s="100" t="s">
        <v>395</v>
      </c>
      <c r="L80" s="100">
        <v>-22176.18</v>
      </c>
      <c r="M80" s="102">
        <v>-6.0499999999999998E-2</v>
      </c>
      <c r="N80" s="100"/>
      <c r="O80" s="101">
        <f t="shared" si="7"/>
        <v>-22158.089999999997</v>
      </c>
      <c r="P80" s="101">
        <f t="shared" si="8"/>
        <v>38321.910000000003</v>
      </c>
      <c r="Q80" s="101">
        <f t="shared" si="6"/>
        <v>60498.089999999989</v>
      </c>
      <c r="R80" s="101">
        <f t="shared" si="9"/>
        <v>-22176.179999999986</v>
      </c>
      <c r="S80" s="101">
        <f t="shared" si="10"/>
        <v>0</v>
      </c>
      <c r="T80" s="103">
        <f t="shared" si="11"/>
        <v>0</v>
      </c>
    </row>
    <row r="81" spans="2:20" x14ac:dyDescent="0.25">
      <c r="B81" s="99">
        <v>77</v>
      </c>
      <c r="C81" s="100" t="s">
        <v>589</v>
      </c>
      <c r="D81" s="100">
        <v>31</v>
      </c>
      <c r="E81" s="100" t="s">
        <v>693</v>
      </c>
      <c r="F81" s="101">
        <v>12.25</v>
      </c>
      <c r="G81" s="101">
        <v>37975</v>
      </c>
      <c r="H81" s="100" t="s">
        <v>691</v>
      </c>
      <c r="I81" s="101">
        <v>19.5</v>
      </c>
      <c r="J81" s="101">
        <v>60470.77</v>
      </c>
      <c r="K81" s="100" t="s">
        <v>395</v>
      </c>
      <c r="L81" s="100">
        <v>-22516.54</v>
      </c>
      <c r="M81" s="102">
        <v>-5.9200000000000003E-2</v>
      </c>
      <c r="N81" s="100"/>
      <c r="O81" s="101">
        <f t="shared" si="7"/>
        <v>-22495.769999999997</v>
      </c>
      <c r="P81" s="101">
        <f t="shared" si="8"/>
        <v>37954.230000000003</v>
      </c>
      <c r="Q81" s="101">
        <f t="shared" si="6"/>
        <v>60470.77</v>
      </c>
      <c r="R81" s="101">
        <f t="shared" si="9"/>
        <v>-22516.539999999994</v>
      </c>
      <c r="S81" s="101">
        <f t="shared" si="10"/>
        <v>0</v>
      </c>
      <c r="T81" s="103">
        <f t="shared" si="11"/>
        <v>0</v>
      </c>
    </row>
    <row r="82" spans="2:20" x14ac:dyDescent="0.25">
      <c r="B82" s="99">
        <v>78</v>
      </c>
      <c r="C82" s="100" t="s">
        <v>581</v>
      </c>
      <c r="D82" s="100">
        <v>87</v>
      </c>
      <c r="E82" s="100" t="s">
        <v>660</v>
      </c>
      <c r="F82" s="101">
        <v>4.0999999999999996</v>
      </c>
      <c r="G82" s="101">
        <v>35670</v>
      </c>
      <c r="H82" s="100" t="s">
        <v>696</v>
      </c>
      <c r="I82" s="101">
        <v>3.85</v>
      </c>
      <c r="J82" s="101">
        <v>33553.29</v>
      </c>
      <c r="K82" s="100" t="s">
        <v>395</v>
      </c>
      <c r="L82" s="100">
        <v>2058.42</v>
      </c>
      <c r="M82" s="102">
        <v>7.9000000000000008E-3</v>
      </c>
      <c r="N82" s="100"/>
      <c r="O82" s="101">
        <f t="shared" si="7"/>
        <v>2116.7099999999991</v>
      </c>
      <c r="P82" s="101">
        <f t="shared" si="8"/>
        <v>35611.71</v>
      </c>
      <c r="Q82" s="101">
        <f t="shared" si="6"/>
        <v>33553.29</v>
      </c>
      <c r="R82" s="101">
        <f t="shared" si="9"/>
        <v>2058.4199999999983</v>
      </c>
      <c r="S82" s="101">
        <f t="shared" si="10"/>
        <v>0</v>
      </c>
      <c r="T82" s="103">
        <f t="shared" si="11"/>
        <v>0</v>
      </c>
    </row>
    <row r="83" spans="2:20" x14ac:dyDescent="0.25">
      <c r="B83" s="99">
        <v>79</v>
      </c>
      <c r="C83" s="100" t="s">
        <v>581</v>
      </c>
      <c r="D83" s="100">
        <v>75</v>
      </c>
      <c r="E83" s="100" t="s">
        <v>697</v>
      </c>
      <c r="F83" s="101">
        <v>4.7</v>
      </c>
      <c r="G83" s="101">
        <v>35250</v>
      </c>
      <c r="H83" s="100" t="s">
        <v>696</v>
      </c>
      <c r="I83" s="101">
        <v>6.15</v>
      </c>
      <c r="J83" s="101">
        <v>46175.25</v>
      </c>
      <c r="K83" s="100" t="s">
        <v>395</v>
      </c>
      <c r="L83" s="100">
        <v>-10975.5</v>
      </c>
      <c r="M83" s="102">
        <v>-4.0300000000000002E-2</v>
      </c>
      <c r="N83" s="100"/>
      <c r="O83" s="101">
        <f t="shared" si="7"/>
        <v>-10925.25</v>
      </c>
      <c r="P83" s="101">
        <f t="shared" si="8"/>
        <v>35199.75</v>
      </c>
      <c r="Q83" s="101">
        <f t="shared" si="6"/>
        <v>46175.25</v>
      </c>
      <c r="R83" s="101">
        <f t="shared" si="9"/>
        <v>-10975.5</v>
      </c>
      <c r="S83" s="101">
        <f t="shared" si="10"/>
        <v>0</v>
      </c>
      <c r="T83" s="103">
        <f t="shared" si="11"/>
        <v>0</v>
      </c>
    </row>
    <row r="84" spans="2:20" x14ac:dyDescent="0.25">
      <c r="B84" s="99">
        <v>80</v>
      </c>
      <c r="C84" s="100" t="s">
        <v>581</v>
      </c>
      <c r="D84" s="100">
        <v>78</v>
      </c>
      <c r="E84" s="100" t="s">
        <v>698</v>
      </c>
      <c r="F84" s="101">
        <v>4.8</v>
      </c>
      <c r="G84" s="101">
        <v>37440</v>
      </c>
      <c r="H84" s="100" t="s">
        <v>696</v>
      </c>
      <c r="I84" s="101">
        <v>6.6</v>
      </c>
      <c r="J84" s="101">
        <v>51532.26</v>
      </c>
      <c r="K84" s="100" t="s">
        <v>395</v>
      </c>
      <c r="L84" s="100">
        <v>-14144.52</v>
      </c>
      <c r="M84" s="102">
        <v>-4.87E-2</v>
      </c>
      <c r="N84" s="100"/>
      <c r="O84" s="101">
        <f t="shared" si="7"/>
        <v>-14092.260000000002</v>
      </c>
      <c r="P84" s="101">
        <f t="shared" si="8"/>
        <v>37387.74</v>
      </c>
      <c r="Q84" s="101">
        <f t="shared" si="6"/>
        <v>51532.259999999995</v>
      </c>
      <c r="R84" s="101">
        <f t="shared" si="9"/>
        <v>-14144.519999999997</v>
      </c>
      <c r="S84" s="101">
        <f t="shared" si="10"/>
        <v>0</v>
      </c>
      <c r="T84" s="103">
        <f t="shared" si="11"/>
        <v>0</v>
      </c>
    </row>
    <row r="85" spans="2:20" x14ac:dyDescent="0.25">
      <c r="B85" s="99">
        <v>81</v>
      </c>
      <c r="C85" s="100" t="s">
        <v>581</v>
      </c>
      <c r="D85" s="100">
        <v>73</v>
      </c>
      <c r="E85" s="100" t="s">
        <v>699</v>
      </c>
      <c r="F85" s="101">
        <v>5.3</v>
      </c>
      <c r="G85" s="101">
        <v>38690</v>
      </c>
      <c r="H85" s="100" t="s">
        <v>696</v>
      </c>
      <c r="I85" s="101">
        <v>8.0500000000000007</v>
      </c>
      <c r="J85" s="101">
        <v>58813.91</v>
      </c>
      <c r="K85" s="100" t="s">
        <v>395</v>
      </c>
      <c r="L85" s="100">
        <v>-20172.82</v>
      </c>
      <c r="M85" s="102">
        <v>-7.9600000000000004E-2</v>
      </c>
      <c r="N85" s="100"/>
      <c r="O85" s="101">
        <f t="shared" si="7"/>
        <v>-20123.910000000003</v>
      </c>
      <c r="P85" s="101">
        <f t="shared" si="8"/>
        <v>38641.089999999997</v>
      </c>
      <c r="Q85" s="101">
        <f t="shared" si="6"/>
        <v>58813.910000000011</v>
      </c>
      <c r="R85" s="101">
        <f t="shared" si="9"/>
        <v>-20172.820000000014</v>
      </c>
      <c r="S85" s="101">
        <f t="shared" si="10"/>
        <v>0</v>
      </c>
      <c r="T85" s="103">
        <f t="shared" si="11"/>
        <v>0</v>
      </c>
    </row>
    <row r="86" spans="2:20" x14ac:dyDescent="0.25">
      <c r="B86" s="99">
        <v>82</v>
      </c>
      <c r="C86" s="100" t="s">
        <v>581</v>
      </c>
      <c r="D86" s="100">
        <v>83</v>
      </c>
      <c r="E86" s="100" t="s">
        <v>700</v>
      </c>
      <c r="F86" s="101">
        <v>4.3499999999999996</v>
      </c>
      <c r="G86" s="101">
        <v>36105</v>
      </c>
      <c r="H86" s="100" t="s">
        <v>696</v>
      </c>
      <c r="I86" s="101">
        <v>6</v>
      </c>
      <c r="J86" s="101">
        <v>49855.61</v>
      </c>
      <c r="K86" s="100" t="s">
        <v>395</v>
      </c>
      <c r="L86" s="100">
        <v>-13806.22</v>
      </c>
      <c r="M86" s="102">
        <v>-5.4300000000000001E-2</v>
      </c>
      <c r="N86" s="100"/>
      <c r="O86" s="101">
        <f t="shared" si="7"/>
        <v>-13750.61</v>
      </c>
      <c r="P86" s="101">
        <f t="shared" si="8"/>
        <v>36049.389999999992</v>
      </c>
      <c r="Q86" s="101">
        <f t="shared" si="6"/>
        <v>49855.61</v>
      </c>
      <c r="R86" s="101">
        <f t="shared" si="9"/>
        <v>-13806.220000000008</v>
      </c>
      <c r="S86" s="101">
        <f t="shared" si="10"/>
        <v>0</v>
      </c>
      <c r="T86" s="103">
        <f t="shared" si="11"/>
        <v>0</v>
      </c>
    </row>
    <row r="87" spans="2:20" x14ac:dyDescent="0.25">
      <c r="B87" s="99">
        <v>83</v>
      </c>
      <c r="C87" s="100" t="s">
        <v>581</v>
      </c>
      <c r="D87" s="100">
        <v>49</v>
      </c>
      <c r="E87" s="100" t="s">
        <v>701</v>
      </c>
      <c r="F87" s="101">
        <v>7.25</v>
      </c>
      <c r="G87" s="101">
        <v>35525</v>
      </c>
      <c r="H87" s="100" t="s">
        <v>696</v>
      </c>
      <c r="I87" s="101">
        <v>10.5</v>
      </c>
      <c r="J87" s="101">
        <v>51482.83</v>
      </c>
      <c r="K87" s="100" t="s">
        <v>395</v>
      </c>
      <c r="L87" s="100">
        <v>-15990.66</v>
      </c>
      <c r="M87" s="102">
        <v>-8.6400000000000005E-2</v>
      </c>
      <c r="N87" s="100"/>
      <c r="O87" s="101">
        <f t="shared" si="7"/>
        <v>-15957.830000000002</v>
      </c>
      <c r="P87" s="101">
        <f t="shared" si="8"/>
        <v>35492.17</v>
      </c>
      <c r="Q87" s="101">
        <f t="shared" si="6"/>
        <v>51482.83</v>
      </c>
      <c r="R87" s="101">
        <f t="shared" si="9"/>
        <v>-15990.660000000003</v>
      </c>
      <c r="S87" s="101">
        <f t="shared" si="10"/>
        <v>0</v>
      </c>
      <c r="T87" s="103">
        <f t="shared" si="11"/>
        <v>0</v>
      </c>
    </row>
    <row r="88" spans="2:20" x14ac:dyDescent="0.25">
      <c r="B88" s="99">
        <v>84</v>
      </c>
      <c r="C88" s="100" t="s">
        <v>581</v>
      </c>
      <c r="D88" s="100">
        <v>72</v>
      </c>
      <c r="E88" s="100" t="s">
        <v>702</v>
      </c>
      <c r="F88" s="101">
        <v>4.9000000000000004</v>
      </c>
      <c r="G88" s="101">
        <v>35280</v>
      </c>
      <c r="H88" s="100" t="s">
        <v>696</v>
      </c>
      <c r="I88" s="101">
        <v>7.8</v>
      </c>
      <c r="J88" s="101">
        <v>56208.24</v>
      </c>
      <c r="K88" s="100" t="s">
        <v>395</v>
      </c>
      <c r="L88" s="100">
        <v>-20976.48</v>
      </c>
      <c r="M88" s="102">
        <v>-7.2700000000000001E-2</v>
      </c>
      <c r="N88" s="100"/>
      <c r="O88" s="101">
        <f t="shared" si="7"/>
        <v>-20928.239999999998</v>
      </c>
      <c r="P88" s="101">
        <f t="shared" si="8"/>
        <v>35231.760000000002</v>
      </c>
      <c r="Q88" s="101">
        <f t="shared" si="6"/>
        <v>56208.24</v>
      </c>
      <c r="R88" s="101">
        <f t="shared" si="9"/>
        <v>-20976.479999999996</v>
      </c>
      <c r="S88" s="101">
        <f t="shared" si="10"/>
        <v>0</v>
      </c>
      <c r="T88" s="103">
        <f t="shared" si="11"/>
        <v>0</v>
      </c>
    </row>
    <row r="89" spans="2:20" x14ac:dyDescent="0.25">
      <c r="B89" s="99">
        <v>85</v>
      </c>
      <c r="C89" s="100" t="s">
        <v>706</v>
      </c>
      <c r="D89" s="100">
        <v>48</v>
      </c>
      <c r="E89" s="100" t="s">
        <v>707</v>
      </c>
      <c r="F89" s="101">
        <v>7.1</v>
      </c>
      <c r="G89" s="101">
        <v>34080</v>
      </c>
      <c r="H89" s="100" t="s">
        <v>708</v>
      </c>
      <c r="I89" s="101">
        <v>9.6</v>
      </c>
      <c r="J89" s="101">
        <v>46112.160000000003</v>
      </c>
      <c r="K89" s="100" t="s">
        <v>395</v>
      </c>
      <c r="L89" s="100">
        <v>-12064.32</v>
      </c>
      <c r="M89" s="102">
        <v>-4.3400000000000001E-2</v>
      </c>
      <c r="N89" s="100"/>
      <c r="O89" s="101">
        <f t="shared" si="7"/>
        <v>-12032.160000000003</v>
      </c>
      <c r="P89" s="101">
        <f t="shared" si="8"/>
        <v>34047.839999999989</v>
      </c>
      <c r="Q89" s="101">
        <f t="shared" ref="Q89:Q152" si="12">I89*D89*100 + D89*0.67</f>
        <v>46112.159999999996</v>
      </c>
      <c r="R89" s="101">
        <f t="shared" si="9"/>
        <v>-12064.320000000007</v>
      </c>
      <c r="S89" s="101">
        <f t="shared" si="10"/>
        <v>0</v>
      </c>
      <c r="T89" s="103">
        <f t="shared" si="11"/>
        <v>0</v>
      </c>
    </row>
    <row r="90" spans="2:20" x14ac:dyDescent="0.25">
      <c r="B90" s="99">
        <v>86</v>
      </c>
      <c r="C90" s="100" t="s">
        <v>706</v>
      </c>
      <c r="D90" s="100">
        <v>63</v>
      </c>
      <c r="E90" s="100" t="s">
        <v>709</v>
      </c>
      <c r="F90" s="101">
        <v>5.9</v>
      </c>
      <c r="G90" s="101">
        <v>37170</v>
      </c>
      <c r="H90" s="100" t="s">
        <v>708</v>
      </c>
      <c r="I90" s="101">
        <v>11.8</v>
      </c>
      <c r="J90" s="101">
        <v>74382.210000000006</v>
      </c>
      <c r="K90" s="100" t="s">
        <v>395</v>
      </c>
      <c r="L90" s="100">
        <v>-37254.42</v>
      </c>
      <c r="M90" s="102">
        <v>-9.2299999999999993E-2</v>
      </c>
      <c r="N90" s="100"/>
      <c r="O90" s="101">
        <f t="shared" si="7"/>
        <v>-37212.210000000006</v>
      </c>
      <c r="P90" s="101">
        <f t="shared" si="8"/>
        <v>37127.790000000008</v>
      </c>
      <c r="Q90" s="101">
        <f t="shared" si="12"/>
        <v>74382.210000000021</v>
      </c>
      <c r="R90" s="101">
        <f t="shared" si="9"/>
        <v>-37254.420000000013</v>
      </c>
      <c r="S90" s="101">
        <f t="shared" si="10"/>
        <v>0</v>
      </c>
      <c r="T90" s="103">
        <f t="shared" si="11"/>
        <v>0</v>
      </c>
    </row>
    <row r="91" spans="2:20" x14ac:dyDescent="0.25">
      <c r="B91" s="99">
        <v>87</v>
      </c>
      <c r="C91" s="100" t="s">
        <v>589</v>
      </c>
      <c r="D91" s="100">
        <v>15</v>
      </c>
      <c r="E91" s="100" t="s">
        <v>724</v>
      </c>
      <c r="F91" s="101">
        <v>19.5</v>
      </c>
      <c r="G91" s="101">
        <v>29250</v>
      </c>
      <c r="H91" s="100" t="s">
        <v>725</v>
      </c>
      <c r="I91" s="101">
        <v>32.950000000000003</v>
      </c>
      <c r="J91" s="101">
        <v>49435.05</v>
      </c>
      <c r="K91" s="100" t="s">
        <v>395</v>
      </c>
      <c r="L91" s="100">
        <v>-20195.099999999999</v>
      </c>
      <c r="M91" s="102">
        <v>-9.9400000000000002E-2</v>
      </c>
      <c r="N91" s="100"/>
      <c r="O91" s="101">
        <f t="shared" si="7"/>
        <v>-20185.050000000003</v>
      </c>
      <c r="P91" s="101">
        <f t="shared" si="8"/>
        <v>29239.95</v>
      </c>
      <c r="Q91" s="101">
        <f t="shared" si="12"/>
        <v>49435.05000000001</v>
      </c>
      <c r="R91" s="101">
        <f t="shared" si="9"/>
        <v>-20195.100000000009</v>
      </c>
      <c r="S91" s="101">
        <f t="shared" si="10"/>
        <v>0</v>
      </c>
      <c r="T91" s="103">
        <f t="shared" si="11"/>
        <v>0</v>
      </c>
    </row>
    <row r="92" spans="2:20" x14ac:dyDescent="0.25">
      <c r="B92" s="99">
        <v>88</v>
      </c>
      <c r="C92" s="100" t="s">
        <v>589</v>
      </c>
      <c r="D92" s="100">
        <v>16</v>
      </c>
      <c r="E92" s="100" t="s">
        <v>726</v>
      </c>
      <c r="F92" s="101">
        <v>18.5</v>
      </c>
      <c r="G92" s="101">
        <v>29600</v>
      </c>
      <c r="H92" s="100" t="s">
        <v>725</v>
      </c>
      <c r="I92" s="101">
        <v>35.799999999999997</v>
      </c>
      <c r="J92" s="101">
        <v>57290.720000000001</v>
      </c>
      <c r="K92" s="100" t="s">
        <v>395</v>
      </c>
      <c r="L92" s="100">
        <v>-27701.439999999999</v>
      </c>
      <c r="M92" s="102">
        <v>-0.12239999999999999</v>
      </c>
      <c r="N92" s="100"/>
      <c r="O92" s="101">
        <f t="shared" si="7"/>
        <v>-27690.720000000001</v>
      </c>
      <c r="P92" s="101">
        <f t="shared" si="8"/>
        <v>29589.279999999999</v>
      </c>
      <c r="Q92" s="101">
        <f t="shared" si="12"/>
        <v>57290.719999999994</v>
      </c>
      <c r="R92" s="101">
        <f t="shared" si="9"/>
        <v>-27701.439999999995</v>
      </c>
      <c r="S92" s="101">
        <f t="shared" si="10"/>
        <v>0</v>
      </c>
      <c r="T92" s="103">
        <f t="shared" si="11"/>
        <v>0</v>
      </c>
    </row>
    <row r="93" spans="2:20" x14ac:dyDescent="0.25">
      <c r="B93" s="99">
        <v>89</v>
      </c>
      <c r="C93" s="100" t="s">
        <v>589</v>
      </c>
      <c r="D93" s="100">
        <v>20</v>
      </c>
      <c r="E93" s="100" t="s">
        <v>727</v>
      </c>
      <c r="F93" s="101">
        <v>15.5</v>
      </c>
      <c r="G93" s="101">
        <v>31000</v>
      </c>
      <c r="H93" s="100" t="s">
        <v>725</v>
      </c>
      <c r="I93" s="101">
        <v>30.2</v>
      </c>
      <c r="J93" s="101">
        <v>60413.4</v>
      </c>
      <c r="K93" s="100" t="s">
        <v>395</v>
      </c>
      <c r="L93" s="100">
        <v>-29426.799999999999</v>
      </c>
      <c r="M93" s="102">
        <v>-0.1094</v>
      </c>
      <c r="N93" s="100"/>
      <c r="O93" s="101">
        <f t="shared" si="7"/>
        <v>-29413.4</v>
      </c>
      <c r="P93" s="101">
        <f t="shared" si="8"/>
        <v>30986.6</v>
      </c>
      <c r="Q93" s="101">
        <f t="shared" si="12"/>
        <v>60413.4</v>
      </c>
      <c r="R93" s="101">
        <f t="shared" si="9"/>
        <v>-29426.800000000003</v>
      </c>
      <c r="S93" s="101">
        <f t="shared" si="10"/>
        <v>0</v>
      </c>
      <c r="T93" s="103">
        <f t="shared" si="11"/>
        <v>0</v>
      </c>
    </row>
    <row r="94" spans="2:20" x14ac:dyDescent="0.25">
      <c r="B94" s="99">
        <v>90</v>
      </c>
      <c r="C94" s="100" t="s">
        <v>589</v>
      </c>
      <c r="D94" s="100">
        <v>16</v>
      </c>
      <c r="E94" s="100" t="s">
        <v>728</v>
      </c>
      <c r="F94" s="101">
        <v>18.850000000000001</v>
      </c>
      <c r="G94" s="101">
        <v>30160</v>
      </c>
      <c r="H94" s="100" t="s">
        <v>725</v>
      </c>
      <c r="I94" s="101">
        <v>38.799999999999997</v>
      </c>
      <c r="J94" s="101">
        <v>62090.720000000001</v>
      </c>
      <c r="K94" s="100" t="s">
        <v>395</v>
      </c>
      <c r="L94" s="100">
        <v>-31941.439999999999</v>
      </c>
      <c r="M94" s="102">
        <v>-0.1366</v>
      </c>
      <c r="N94" s="100"/>
      <c r="O94" s="101">
        <f t="shared" si="7"/>
        <v>-31930.720000000001</v>
      </c>
      <c r="P94" s="101">
        <f t="shared" si="8"/>
        <v>30149.280000000002</v>
      </c>
      <c r="Q94" s="101">
        <f t="shared" si="12"/>
        <v>62090.719999999994</v>
      </c>
      <c r="R94" s="101">
        <f t="shared" si="9"/>
        <v>-31941.439999999991</v>
      </c>
      <c r="S94" s="101">
        <f t="shared" si="10"/>
        <v>0</v>
      </c>
      <c r="T94" s="103">
        <f t="shared" si="11"/>
        <v>0</v>
      </c>
    </row>
    <row r="95" spans="2:20" x14ac:dyDescent="0.25">
      <c r="B95" s="99">
        <v>91</v>
      </c>
      <c r="C95" s="100" t="s">
        <v>589</v>
      </c>
      <c r="D95" s="100">
        <v>25</v>
      </c>
      <c r="E95" s="100" t="s">
        <v>729</v>
      </c>
      <c r="F95" s="101">
        <v>12.1</v>
      </c>
      <c r="G95" s="101">
        <v>30250</v>
      </c>
      <c r="H95" s="100" t="s">
        <v>725</v>
      </c>
      <c r="I95" s="101">
        <v>27.5</v>
      </c>
      <c r="J95" s="101">
        <v>68766.75</v>
      </c>
      <c r="K95" s="100" t="s">
        <v>395</v>
      </c>
      <c r="L95" s="100">
        <v>-38533.5</v>
      </c>
      <c r="M95" s="102">
        <v>-0.11600000000000001</v>
      </c>
      <c r="N95" s="100"/>
      <c r="O95" s="101">
        <f t="shared" si="7"/>
        <v>-38516.75</v>
      </c>
      <c r="P95" s="101">
        <f t="shared" si="8"/>
        <v>30233.25</v>
      </c>
      <c r="Q95" s="101">
        <f t="shared" si="12"/>
        <v>68766.75</v>
      </c>
      <c r="R95" s="101">
        <f t="shared" si="9"/>
        <v>-38533.5</v>
      </c>
      <c r="S95" s="101">
        <f t="shared" si="10"/>
        <v>0</v>
      </c>
      <c r="T95" s="103">
        <f t="shared" si="11"/>
        <v>0</v>
      </c>
    </row>
    <row r="96" spans="2:20" x14ac:dyDescent="0.25">
      <c r="B96" s="99">
        <v>92</v>
      </c>
      <c r="C96" s="100" t="s">
        <v>589</v>
      </c>
      <c r="D96" s="100">
        <v>22</v>
      </c>
      <c r="E96" s="100" t="s">
        <v>730</v>
      </c>
      <c r="F96" s="101">
        <v>13.2</v>
      </c>
      <c r="G96" s="101">
        <v>29040</v>
      </c>
      <c r="H96" s="100" t="s">
        <v>725</v>
      </c>
      <c r="I96" s="101">
        <v>25.2</v>
      </c>
      <c r="J96" s="101">
        <v>55454.74</v>
      </c>
      <c r="K96" s="100" t="s">
        <v>395</v>
      </c>
      <c r="L96" s="100">
        <v>-26429.48</v>
      </c>
      <c r="M96" s="102">
        <v>-9.4700000000000006E-2</v>
      </c>
      <c r="N96" s="100"/>
      <c r="O96" s="101">
        <f t="shared" si="7"/>
        <v>-26414.739999999998</v>
      </c>
      <c r="P96" s="101">
        <f t="shared" si="8"/>
        <v>29025.259999999995</v>
      </c>
      <c r="Q96" s="101">
        <f t="shared" si="12"/>
        <v>55454.74</v>
      </c>
      <c r="R96" s="101">
        <f t="shared" si="9"/>
        <v>-26429.480000000003</v>
      </c>
      <c r="S96" s="101">
        <f t="shared" si="10"/>
        <v>0</v>
      </c>
      <c r="T96" s="103">
        <f t="shared" si="11"/>
        <v>0</v>
      </c>
    </row>
    <row r="97" spans="2:20" x14ac:dyDescent="0.25">
      <c r="B97" s="99">
        <v>93</v>
      </c>
      <c r="C97" s="100" t="s">
        <v>519</v>
      </c>
      <c r="D97" s="100">
        <v>66</v>
      </c>
      <c r="E97" s="100" t="s">
        <v>733</v>
      </c>
      <c r="F97" s="101">
        <v>4.25</v>
      </c>
      <c r="G97" s="101">
        <v>28050</v>
      </c>
      <c r="H97" s="100" t="s">
        <v>755</v>
      </c>
      <c r="I97" s="101">
        <v>8.8000000000000007</v>
      </c>
      <c r="J97" s="101">
        <v>58124.22</v>
      </c>
      <c r="K97" s="100" t="s">
        <v>395</v>
      </c>
      <c r="L97" s="100">
        <v>-30118.44</v>
      </c>
      <c r="M97" s="102">
        <v>-0.12759999999999999</v>
      </c>
      <c r="N97" s="100"/>
      <c r="O97" s="101">
        <f t="shared" si="7"/>
        <v>-30074.22</v>
      </c>
      <c r="P97" s="101">
        <f t="shared" si="8"/>
        <v>28005.78</v>
      </c>
      <c r="Q97" s="101">
        <f t="shared" si="12"/>
        <v>58124.220000000008</v>
      </c>
      <c r="R97" s="101">
        <f t="shared" si="9"/>
        <v>-30118.44000000001</v>
      </c>
      <c r="S97" s="101">
        <f t="shared" si="10"/>
        <v>0</v>
      </c>
      <c r="T97" s="103">
        <f t="shared" si="11"/>
        <v>0</v>
      </c>
    </row>
    <row r="98" spans="2:20" x14ac:dyDescent="0.25">
      <c r="B98" s="99">
        <v>94</v>
      </c>
      <c r="C98" s="100" t="s">
        <v>519</v>
      </c>
      <c r="D98" s="100">
        <v>70</v>
      </c>
      <c r="E98" s="100" t="s">
        <v>735</v>
      </c>
      <c r="F98" s="101">
        <v>4.0999999999999996</v>
      </c>
      <c r="G98" s="101">
        <v>28700</v>
      </c>
      <c r="H98" s="100" t="s">
        <v>755</v>
      </c>
      <c r="I98" s="101">
        <v>9</v>
      </c>
      <c r="J98" s="101">
        <v>63046.9</v>
      </c>
      <c r="K98" s="100" t="s">
        <v>395</v>
      </c>
      <c r="L98" s="100">
        <v>-34393.800000000003</v>
      </c>
      <c r="M98" s="102">
        <v>-0.13320000000000001</v>
      </c>
      <c r="N98" s="100"/>
      <c r="O98" s="101">
        <f t="shared" si="7"/>
        <v>-34346.9</v>
      </c>
      <c r="P98" s="101">
        <f t="shared" si="8"/>
        <v>28653.1</v>
      </c>
      <c r="Q98" s="101">
        <f t="shared" si="12"/>
        <v>63046.9</v>
      </c>
      <c r="R98" s="101">
        <f t="shared" si="9"/>
        <v>-34393.800000000003</v>
      </c>
      <c r="S98" s="101">
        <f t="shared" si="10"/>
        <v>0</v>
      </c>
      <c r="T98" s="103">
        <f t="shared" si="11"/>
        <v>0</v>
      </c>
    </row>
    <row r="99" spans="2:20" x14ac:dyDescent="0.25">
      <c r="B99" s="99">
        <v>95</v>
      </c>
      <c r="C99" s="100" t="s">
        <v>519</v>
      </c>
      <c r="D99" s="100">
        <v>71</v>
      </c>
      <c r="E99" s="100" t="s">
        <v>756</v>
      </c>
      <c r="F99" s="101">
        <v>3.95</v>
      </c>
      <c r="G99" s="101">
        <v>28045</v>
      </c>
      <c r="H99" s="100" t="s">
        <v>755</v>
      </c>
      <c r="I99" s="101">
        <v>8.4</v>
      </c>
      <c r="J99" s="101">
        <v>59687.57</v>
      </c>
      <c r="K99" s="100" t="s">
        <v>395</v>
      </c>
      <c r="L99" s="100">
        <v>-31690.14</v>
      </c>
      <c r="M99" s="102">
        <v>-0.12379999999999999</v>
      </c>
      <c r="N99" s="100"/>
      <c r="O99" s="101">
        <f t="shared" si="7"/>
        <v>-31642.57</v>
      </c>
      <c r="P99" s="101">
        <f t="shared" si="8"/>
        <v>27997.43</v>
      </c>
      <c r="Q99" s="101">
        <f t="shared" si="12"/>
        <v>59687.57</v>
      </c>
      <c r="R99" s="101">
        <f t="shared" si="9"/>
        <v>-31690.14</v>
      </c>
      <c r="S99" s="101">
        <f t="shared" si="10"/>
        <v>0</v>
      </c>
      <c r="T99" s="103">
        <f t="shared" si="11"/>
        <v>0</v>
      </c>
    </row>
    <row r="100" spans="2:20" x14ac:dyDescent="0.25">
      <c r="B100" s="99">
        <v>96</v>
      </c>
      <c r="C100" s="100" t="s">
        <v>589</v>
      </c>
      <c r="D100" s="100">
        <v>19</v>
      </c>
      <c r="E100" s="100" t="s">
        <v>838</v>
      </c>
      <c r="F100" s="101">
        <v>19.05</v>
      </c>
      <c r="G100" s="101">
        <v>36195</v>
      </c>
      <c r="H100" s="100" t="s">
        <v>839</v>
      </c>
      <c r="I100" s="101">
        <v>24.15</v>
      </c>
      <c r="J100" s="101">
        <v>45897.73</v>
      </c>
      <c r="K100" s="100" t="s">
        <v>395</v>
      </c>
      <c r="L100" s="100">
        <v>-9715.4599999999991</v>
      </c>
      <c r="M100" s="102">
        <v>-2.6800000000000001E-2</v>
      </c>
      <c r="N100" s="100"/>
      <c r="O100" s="101">
        <f t="shared" si="7"/>
        <v>-9702.7300000000032</v>
      </c>
      <c r="P100" s="101">
        <f t="shared" si="8"/>
        <v>36182.269999999997</v>
      </c>
      <c r="Q100" s="101">
        <f t="shared" si="12"/>
        <v>45897.73</v>
      </c>
      <c r="R100" s="101">
        <f t="shared" si="9"/>
        <v>-9715.4600000000064</v>
      </c>
      <c r="S100" s="101">
        <f t="shared" si="10"/>
        <v>0</v>
      </c>
      <c r="T100" s="103">
        <f t="shared" si="11"/>
        <v>0</v>
      </c>
    </row>
    <row r="101" spans="2:20" x14ac:dyDescent="0.25">
      <c r="B101" s="99">
        <v>97</v>
      </c>
      <c r="C101" s="100" t="s">
        <v>589</v>
      </c>
      <c r="D101" s="100">
        <v>20</v>
      </c>
      <c r="E101" s="100" t="s">
        <v>840</v>
      </c>
      <c r="F101" s="101">
        <v>19.649999999999999</v>
      </c>
      <c r="G101" s="101">
        <v>39300</v>
      </c>
      <c r="H101" s="100" t="s">
        <v>839</v>
      </c>
      <c r="I101" s="101">
        <v>35.6</v>
      </c>
      <c r="J101" s="101">
        <v>71213.399999999994</v>
      </c>
      <c r="K101" s="100" t="s">
        <v>395</v>
      </c>
      <c r="L101" s="100">
        <v>-31926.799999999999</v>
      </c>
      <c r="M101" s="102">
        <v>-7.5899999999999995E-2</v>
      </c>
      <c r="N101" s="100"/>
      <c r="O101" s="101">
        <f t="shared" si="7"/>
        <v>-31913.399999999994</v>
      </c>
      <c r="P101" s="101">
        <f t="shared" si="8"/>
        <v>39286.6</v>
      </c>
      <c r="Q101" s="101">
        <f t="shared" si="12"/>
        <v>71213.399999999994</v>
      </c>
      <c r="R101" s="101">
        <f t="shared" si="9"/>
        <v>-31926.799999999996</v>
      </c>
      <c r="S101" s="101">
        <f t="shared" si="10"/>
        <v>0</v>
      </c>
      <c r="T101" s="103">
        <f t="shared" si="11"/>
        <v>0</v>
      </c>
    </row>
    <row r="102" spans="2:20" x14ac:dyDescent="0.25">
      <c r="B102" s="99">
        <v>98</v>
      </c>
      <c r="C102" s="100" t="s">
        <v>589</v>
      </c>
      <c r="D102" s="100">
        <v>16</v>
      </c>
      <c r="E102" s="100" t="s">
        <v>841</v>
      </c>
      <c r="F102" s="101">
        <v>24.8</v>
      </c>
      <c r="G102" s="101">
        <v>39680</v>
      </c>
      <c r="H102" s="100" t="s">
        <v>839</v>
      </c>
      <c r="I102" s="101">
        <v>43.05</v>
      </c>
      <c r="J102" s="101">
        <v>68890.720000000001</v>
      </c>
      <c r="K102" s="100" t="s">
        <v>395</v>
      </c>
      <c r="L102" s="100">
        <v>-29221.439999999999</v>
      </c>
      <c r="M102" s="102">
        <v>-8.8999999999999996E-2</v>
      </c>
      <c r="N102" s="100"/>
      <c r="O102" s="101">
        <f t="shared" si="7"/>
        <v>-29210.720000000001</v>
      </c>
      <c r="P102" s="101">
        <f t="shared" si="8"/>
        <v>39669.279999999999</v>
      </c>
      <c r="Q102" s="101">
        <f t="shared" si="12"/>
        <v>68890.720000000001</v>
      </c>
      <c r="R102" s="101">
        <f t="shared" si="9"/>
        <v>-29221.440000000002</v>
      </c>
      <c r="S102" s="101">
        <f t="shared" si="10"/>
        <v>0</v>
      </c>
      <c r="T102" s="103">
        <f t="shared" si="11"/>
        <v>0</v>
      </c>
    </row>
    <row r="103" spans="2:20" x14ac:dyDescent="0.25">
      <c r="B103" s="99">
        <v>99</v>
      </c>
      <c r="C103" s="100" t="s">
        <v>589</v>
      </c>
      <c r="D103" s="100">
        <v>13</v>
      </c>
      <c r="E103" s="100" t="s">
        <v>842</v>
      </c>
      <c r="F103" s="101">
        <v>29.85</v>
      </c>
      <c r="G103" s="101">
        <v>38805</v>
      </c>
      <c r="H103" s="100" t="s">
        <v>839</v>
      </c>
      <c r="I103" s="101">
        <v>48.65</v>
      </c>
      <c r="J103" s="101">
        <v>63253.71</v>
      </c>
      <c r="K103" s="100" t="s">
        <v>395</v>
      </c>
      <c r="L103" s="100">
        <v>-24457.42</v>
      </c>
      <c r="M103" s="102">
        <v>-8.9499999999999996E-2</v>
      </c>
      <c r="N103" s="100"/>
      <c r="O103" s="101">
        <f t="shared" si="7"/>
        <v>-24448.71</v>
      </c>
      <c r="P103" s="101">
        <f t="shared" si="8"/>
        <v>38796.29</v>
      </c>
      <c r="Q103" s="101">
        <f t="shared" si="12"/>
        <v>63253.709999999992</v>
      </c>
      <c r="R103" s="101">
        <f t="shared" si="9"/>
        <v>-24457.419999999991</v>
      </c>
      <c r="S103" s="101">
        <f t="shared" si="10"/>
        <v>0</v>
      </c>
      <c r="T103" s="103">
        <f t="shared" si="11"/>
        <v>0</v>
      </c>
    </row>
    <row r="104" spans="2:20" x14ac:dyDescent="0.25">
      <c r="B104" s="99">
        <v>100</v>
      </c>
      <c r="C104" s="100" t="s">
        <v>589</v>
      </c>
      <c r="D104" s="100">
        <v>16</v>
      </c>
      <c r="E104" s="100" t="s">
        <v>843</v>
      </c>
      <c r="F104" s="101">
        <v>25.65</v>
      </c>
      <c r="G104" s="101">
        <v>41040</v>
      </c>
      <c r="H104" s="100" t="s">
        <v>839</v>
      </c>
      <c r="I104" s="101">
        <v>46.5</v>
      </c>
      <c r="J104" s="101">
        <v>74410.720000000001</v>
      </c>
      <c r="K104" s="100" t="s">
        <v>395</v>
      </c>
      <c r="L104" s="100">
        <v>-33381.440000000002</v>
      </c>
      <c r="M104" s="102">
        <v>-9.7299999999999998E-2</v>
      </c>
      <c r="N104" s="100"/>
      <c r="O104" s="101">
        <f t="shared" si="7"/>
        <v>-33370.720000000001</v>
      </c>
      <c r="P104" s="101">
        <f t="shared" si="8"/>
        <v>41029.279999999999</v>
      </c>
      <c r="Q104" s="101">
        <f t="shared" si="12"/>
        <v>74410.720000000001</v>
      </c>
      <c r="R104" s="101">
        <f t="shared" si="9"/>
        <v>-33381.440000000002</v>
      </c>
      <c r="S104" s="101">
        <f t="shared" si="10"/>
        <v>0</v>
      </c>
      <c r="T104" s="103">
        <f t="shared" si="11"/>
        <v>0</v>
      </c>
    </row>
    <row r="105" spans="2:20" x14ac:dyDescent="0.25">
      <c r="B105" s="99">
        <v>101</v>
      </c>
      <c r="C105" s="100" t="s">
        <v>589</v>
      </c>
      <c r="D105" s="100">
        <v>15</v>
      </c>
      <c r="E105" s="100" t="s">
        <v>844</v>
      </c>
      <c r="F105" s="101">
        <v>26.7</v>
      </c>
      <c r="G105" s="101">
        <v>40050</v>
      </c>
      <c r="H105" s="100" t="s">
        <v>839</v>
      </c>
      <c r="I105" s="101">
        <v>41.15</v>
      </c>
      <c r="J105" s="101">
        <v>61735.05</v>
      </c>
      <c r="K105" s="100" t="s">
        <v>395</v>
      </c>
      <c r="L105" s="100">
        <v>-21695.1</v>
      </c>
      <c r="M105" s="102">
        <v>-7.1099999999999997E-2</v>
      </c>
      <c r="N105" s="100"/>
      <c r="O105" s="101">
        <f t="shared" si="7"/>
        <v>-21685.050000000003</v>
      </c>
      <c r="P105" s="101">
        <f t="shared" si="8"/>
        <v>40039.949999999997</v>
      </c>
      <c r="Q105" s="101">
        <f t="shared" si="12"/>
        <v>61735.05</v>
      </c>
      <c r="R105" s="101">
        <f t="shared" si="9"/>
        <v>-21695.100000000006</v>
      </c>
      <c r="S105" s="101">
        <f t="shared" si="10"/>
        <v>0</v>
      </c>
      <c r="T105" s="103">
        <f t="shared" si="11"/>
        <v>0</v>
      </c>
    </row>
    <row r="106" spans="2:20" x14ac:dyDescent="0.25">
      <c r="B106" s="99">
        <v>102</v>
      </c>
      <c r="C106" s="100" t="s">
        <v>589</v>
      </c>
      <c r="D106" s="100">
        <v>16</v>
      </c>
      <c r="E106" s="100" t="s">
        <v>845</v>
      </c>
      <c r="F106" s="101">
        <v>24.9</v>
      </c>
      <c r="G106" s="101">
        <v>39840</v>
      </c>
      <c r="H106" s="100" t="s">
        <v>839</v>
      </c>
      <c r="I106" s="101">
        <v>38.200000000000003</v>
      </c>
      <c r="J106" s="101">
        <v>61130.720000000001</v>
      </c>
      <c r="K106" s="100" t="s">
        <v>395</v>
      </c>
      <c r="L106" s="100">
        <v>-21301.439999999999</v>
      </c>
      <c r="M106" s="102">
        <v>-6.8199999999999997E-2</v>
      </c>
      <c r="N106" s="100"/>
      <c r="O106" s="101">
        <f t="shared" si="7"/>
        <v>-21290.720000000001</v>
      </c>
      <c r="P106" s="101">
        <f t="shared" si="8"/>
        <v>39829.279999999999</v>
      </c>
      <c r="Q106" s="101">
        <f t="shared" si="12"/>
        <v>61130.720000000008</v>
      </c>
      <c r="R106" s="101">
        <f t="shared" si="9"/>
        <v>-21301.44000000001</v>
      </c>
      <c r="S106" s="101">
        <f t="shared" si="10"/>
        <v>0</v>
      </c>
      <c r="T106" s="103">
        <f t="shared" si="11"/>
        <v>0</v>
      </c>
    </row>
    <row r="107" spans="2:20" x14ac:dyDescent="0.25">
      <c r="B107" s="99">
        <v>103</v>
      </c>
      <c r="C107" s="100" t="s">
        <v>902</v>
      </c>
      <c r="D107" s="100">
        <v>125</v>
      </c>
      <c r="E107" s="100" t="s">
        <v>926</v>
      </c>
      <c r="F107" s="101">
        <v>3.9</v>
      </c>
      <c r="G107" s="101">
        <v>48750</v>
      </c>
      <c r="H107" s="100" t="s">
        <v>927</v>
      </c>
      <c r="I107" s="101">
        <v>9.15</v>
      </c>
      <c r="J107" s="101">
        <v>114458.75</v>
      </c>
      <c r="K107" s="100" t="s">
        <v>395</v>
      </c>
      <c r="L107" s="100">
        <v>-65792.5</v>
      </c>
      <c r="M107" s="102">
        <v>-0.12809999999999999</v>
      </c>
      <c r="N107" s="100"/>
      <c r="O107" s="101">
        <f t="shared" si="7"/>
        <v>-65708.75</v>
      </c>
      <c r="P107" s="101">
        <f t="shared" si="8"/>
        <v>48666.25</v>
      </c>
      <c r="Q107" s="101">
        <f t="shared" si="12"/>
        <v>114458.75</v>
      </c>
      <c r="R107" s="101">
        <f t="shared" si="9"/>
        <v>-65792.5</v>
      </c>
      <c r="S107" s="101">
        <f t="shared" si="10"/>
        <v>0</v>
      </c>
      <c r="T107" s="103">
        <f t="shared" si="11"/>
        <v>0</v>
      </c>
    </row>
    <row r="108" spans="2:20" x14ac:dyDescent="0.25">
      <c r="B108" s="99">
        <v>104</v>
      </c>
      <c r="C108" s="100" t="s">
        <v>589</v>
      </c>
      <c r="D108" s="100">
        <v>51</v>
      </c>
      <c r="E108" s="100" t="s">
        <v>975</v>
      </c>
      <c r="F108" s="101">
        <v>10.050000000000001</v>
      </c>
      <c r="G108" s="101">
        <v>51255</v>
      </c>
      <c r="H108" s="100" t="s">
        <v>974</v>
      </c>
      <c r="I108" s="101">
        <v>18.350000000000001</v>
      </c>
      <c r="J108" s="101">
        <v>93619.17</v>
      </c>
      <c r="K108" s="100" t="s">
        <v>395</v>
      </c>
      <c r="L108" s="100">
        <v>-42398.34</v>
      </c>
      <c r="M108" s="102">
        <v>-9.2399999999999996E-2</v>
      </c>
      <c r="N108" s="100"/>
      <c r="O108" s="101">
        <f t="shared" si="7"/>
        <v>-42364.17</v>
      </c>
      <c r="P108" s="101">
        <f t="shared" si="8"/>
        <v>51220.830000000009</v>
      </c>
      <c r="Q108" s="101">
        <f t="shared" si="12"/>
        <v>93619.17</v>
      </c>
      <c r="R108" s="101">
        <f t="shared" si="9"/>
        <v>-42398.339999999989</v>
      </c>
      <c r="S108" s="101">
        <f t="shared" si="10"/>
        <v>0</v>
      </c>
      <c r="T108" s="103">
        <f t="shared" si="11"/>
        <v>0</v>
      </c>
    </row>
    <row r="109" spans="2:20" x14ac:dyDescent="0.25">
      <c r="B109" s="99">
        <v>105</v>
      </c>
      <c r="C109" s="100" t="s">
        <v>589</v>
      </c>
      <c r="D109" s="100">
        <v>54</v>
      </c>
      <c r="E109" s="100" t="s">
        <v>976</v>
      </c>
      <c r="F109" s="101">
        <v>9.35</v>
      </c>
      <c r="G109" s="101">
        <v>50490</v>
      </c>
      <c r="H109" s="100" t="s">
        <v>974</v>
      </c>
      <c r="I109" s="101">
        <v>17.5</v>
      </c>
      <c r="J109" s="101">
        <v>94536.18</v>
      </c>
      <c r="K109" s="100" t="s">
        <v>395</v>
      </c>
      <c r="L109" s="100">
        <v>-44082.36</v>
      </c>
      <c r="M109" s="102">
        <v>-9.01E-2</v>
      </c>
      <c r="N109" s="100"/>
      <c r="O109" s="101">
        <f t="shared" si="7"/>
        <v>-44046.179999999993</v>
      </c>
      <c r="P109" s="101">
        <f t="shared" si="8"/>
        <v>50453.82</v>
      </c>
      <c r="Q109" s="101">
        <f t="shared" si="12"/>
        <v>94536.18</v>
      </c>
      <c r="R109" s="101">
        <f t="shared" si="9"/>
        <v>-44082.359999999993</v>
      </c>
      <c r="S109" s="101">
        <f t="shared" si="10"/>
        <v>0</v>
      </c>
      <c r="T109" s="103">
        <f t="shared" si="11"/>
        <v>0</v>
      </c>
    </row>
    <row r="110" spans="2:20" x14ac:dyDescent="0.25">
      <c r="B110" s="99">
        <v>106</v>
      </c>
      <c r="C110" s="100" t="s">
        <v>589</v>
      </c>
      <c r="D110" s="100">
        <v>62</v>
      </c>
      <c r="E110" s="100" t="s">
        <v>960</v>
      </c>
      <c r="F110" s="101">
        <v>8.3000000000000007</v>
      </c>
      <c r="G110" s="101">
        <v>51460</v>
      </c>
      <c r="H110" s="100" t="s">
        <v>974</v>
      </c>
      <c r="I110" s="101">
        <v>15.6</v>
      </c>
      <c r="J110" s="101">
        <v>96761.54</v>
      </c>
      <c r="K110" s="100" t="s">
        <v>395</v>
      </c>
      <c r="L110" s="100">
        <v>-45343.08</v>
      </c>
      <c r="M110" s="102">
        <v>-8.4400000000000003E-2</v>
      </c>
      <c r="N110" s="100"/>
      <c r="O110" s="101">
        <f t="shared" si="7"/>
        <v>-45301.539999999994</v>
      </c>
      <c r="P110" s="101">
        <f t="shared" si="8"/>
        <v>51418.46</v>
      </c>
      <c r="Q110" s="101">
        <f t="shared" si="12"/>
        <v>96761.54</v>
      </c>
      <c r="R110" s="101">
        <f t="shared" si="9"/>
        <v>-45343.079999999994</v>
      </c>
      <c r="S110" s="101">
        <f t="shared" si="10"/>
        <v>0</v>
      </c>
      <c r="T110" s="103">
        <f t="shared" si="11"/>
        <v>0</v>
      </c>
    </row>
    <row r="111" spans="2:20" x14ac:dyDescent="0.25">
      <c r="B111" s="99">
        <v>107</v>
      </c>
      <c r="C111" s="100" t="s">
        <v>589</v>
      </c>
      <c r="D111" s="100">
        <v>58</v>
      </c>
      <c r="E111" s="100" t="s">
        <v>977</v>
      </c>
      <c r="F111" s="101">
        <v>8.9</v>
      </c>
      <c r="G111" s="101">
        <v>51620</v>
      </c>
      <c r="H111" s="100" t="s">
        <v>974</v>
      </c>
      <c r="I111" s="101">
        <v>16.350000000000001</v>
      </c>
      <c r="J111" s="101">
        <v>94868.86</v>
      </c>
      <c r="K111" s="100" t="s">
        <v>395</v>
      </c>
      <c r="L111" s="100">
        <v>-43287.72</v>
      </c>
      <c r="M111" s="102">
        <v>-8.1900000000000001E-2</v>
      </c>
      <c r="N111" s="100"/>
      <c r="O111" s="101">
        <f t="shared" si="7"/>
        <v>-43248.86</v>
      </c>
      <c r="P111" s="101">
        <f t="shared" si="8"/>
        <v>51581.140000000007</v>
      </c>
      <c r="Q111" s="101">
        <f t="shared" si="12"/>
        <v>94868.86</v>
      </c>
      <c r="R111" s="101">
        <f t="shared" si="9"/>
        <v>-43287.719999999994</v>
      </c>
      <c r="S111" s="101">
        <f t="shared" si="10"/>
        <v>0</v>
      </c>
      <c r="T111" s="103">
        <f t="shared" si="11"/>
        <v>0</v>
      </c>
    </row>
    <row r="112" spans="2:20" x14ac:dyDescent="0.25">
      <c r="B112" s="99">
        <v>108</v>
      </c>
      <c r="C112" s="100" t="s">
        <v>589</v>
      </c>
      <c r="D112" s="100">
        <v>47</v>
      </c>
      <c r="E112" s="100" t="s">
        <v>978</v>
      </c>
      <c r="F112" s="101">
        <v>11.05</v>
      </c>
      <c r="G112" s="101">
        <v>51935</v>
      </c>
      <c r="H112" s="100" t="s">
        <v>974</v>
      </c>
      <c r="I112" s="101">
        <v>21.3</v>
      </c>
      <c r="J112" s="101">
        <v>100141.49</v>
      </c>
      <c r="K112" s="100" t="s">
        <v>395</v>
      </c>
      <c r="L112" s="100">
        <v>-48237.98</v>
      </c>
      <c r="M112" s="102">
        <v>-0.10920000000000001</v>
      </c>
      <c r="N112" s="100"/>
      <c r="O112" s="101">
        <f t="shared" si="7"/>
        <v>-48206.490000000005</v>
      </c>
      <c r="P112" s="101">
        <f t="shared" si="8"/>
        <v>51903.51</v>
      </c>
      <c r="Q112" s="101">
        <f t="shared" si="12"/>
        <v>100141.49</v>
      </c>
      <c r="R112" s="101">
        <f t="shared" si="9"/>
        <v>-48237.98</v>
      </c>
      <c r="S112" s="101">
        <f t="shared" si="10"/>
        <v>0</v>
      </c>
      <c r="T112" s="103">
        <f t="shared" si="11"/>
        <v>0</v>
      </c>
    </row>
    <row r="113" spans="2:20" x14ac:dyDescent="0.25">
      <c r="B113" s="99">
        <v>109</v>
      </c>
      <c r="C113" s="100" t="s">
        <v>589</v>
      </c>
      <c r="D113" s="100">
        <v>54</v>
      </c>
      <c r="E113" s="100" t="s">
        <v>979</v>
      </c>
      <c r="F113" s="101">
        <v>9.75</v>
      </c>
      <c r="G113" s="101">
        <v>52650</v>
      </c>
      <c r="H113" s="100" t="s">
        <v>974</v>
      </c>
      <c r="I113" s="101">
        <v>20.45</v>
      </c>
      <c r="J113" s="101">
        <v>110466.18</v>
      </c>
      <c r="K113" s="100" t="s">
        <v>395</v>
      </c>
      <c r="L113" s="100">
        <v>-57852.36</v>
      </c>
      <c r="M113" s="102">
        <v>-0.1125</v>
      </c>
      <c r="N113" s="100"/>
      <c r="O113" s="101">
        <f t="shared" si="7"/>
        <v>-57816.179999999993</v>
      </c>
      <c r="P113" s="101">
        <f t="shared" si="8"/>
        <v>52613.82</v>
      </c>
      <c r="Q113" s="101">
        <f t="shared" si="12"/>
        <v>110466.18</v>
      </c>
      <c r="R113" s="101">
        <f t="shared" si="9"/>
        <v>-57852.359999999993</v>
      </c>
      <c r="S113" s="101">
        <f t="shared" si="10"/>
        <v>0</v>
      </c>
      <c r="T113" s="103">
        <f t="shared" si="11"/>
        <v>0</v>
      </c>
    </row>
    <row r="114" spans="2:20" x14ac:dyDescent="0.25">
      <c r="B114" s="99">
        <v>110</v>
      </c>
      <c r="C114" s="100" t="s">
        <v>589</v>
      </c>
      <c r="D114" s="100">
        <v>52</v>
      </c>
      <c r="E114" s="100" t="s">
        <v>980</v>
      </c>
      <c r="F114" s="101">
        <v>10.050000000000001</v>
      </c>
      <c r="G114" s="101">
        <v>52260</v>
      </c>
      <c r="H114" s="100" t="s">
        <v>974</v>
      </c>
      <c r="I114" s="101">
        <v>19.350000000000001</v>
      </c>
      <c r="J114" s="101">
        <v>100654.84</v>
      </c>
      <c r="K114" s="100" t="s">
        <v>395</v>
      </c>
      <c r="L114" s="100">
        <v>-48429.68</v>
      </c>
      <c r="M114" s="102">
        <v>-9.8100000000000007E-2</v>
      </c>
      <c r="N114" s="100"/>
      <c r="O114" s="101">
        <f t="shared" si="7"/>
        <v>-48394.84</v>
      </c>
      <c r="P114" s="101">
        <f t="shared" si="8"/>
        <v>52225.16</v>
      </c>
      <c r="Q114" s="101">
        <f t="shared" si="12"/>
        <v>100654.84</v>
      </c>
      <c r="R114" s="101">
        <f t="shared" si="9"/>
        <v>-48429.679999999993</v>
      </c>
      <c r="S114" s="101">
        <f t="shared" si="10"/>
        <v>0</v>
      </c>
      <c r="T114" s="103">
        <f t="shared" si="11"/>
        <v>0</v>
      </c>
    </row>
    <row r="115" spans="2:20" x14ac:dyDescent="0.25">
      <c r="B115" s="99">
        <v>111</v>
      </c>
      <c r="C115" s="100" t="s">
        <v>581</v>
      </c>
      <c r="D115" s="100">
        <v>115</v>
      </c>
      <c r="E115" s="100" t="s">
        <v>987</v>
      </c>
      <c r="F115" s="101">
        <v>4.25</v>
      </c>
      <c r="G115" s="101">
        <v>48875</v>
      </c>
      <c r="H115" s="100" t="s">
        <v>986</v>
      </c>
      <c r="I115" s="101">
        <v>7.9</v>
      </c>
      <c r="J115" s="101">
        <v>90927.05</v>
      </c>
      <c r="K115" s="100" t="s">
        <v>395</v>
      </c>
      <c r="L115" s="100">
        <v>-42129.1</v>
      </c>
      <c r="M115" s="102">
        <v>-0.1191</v>
      </c>
      <c r="N115" s="100"/>
      <c r="O115" s="101">
        <f t="shared" si="7"/>
        <v>-42052.05</v>
      </c>
      <c r="P115" s="101">
        <f t="shared" si="8"/>
        <v>48797.95</v>
      </c>
      <c r="Q115" s="101">
        <f t="shared" si="12"/>
        <v>90927.05</v>
      </c>
      <c r="R115" s="101">
        <f t="shared" si="9"/>
        <v>-42129.100000000006</v>
      </c>
      <c r="S115" s="101">
        <f t="shared" si="10"/>
        <v>0</v>
      </c>
      <c r="T115" s="103">
        <f t="shared" si="11"/>
        <v>0</v>
      </c>
    </row>
    <row r="116" spans="2:20" x14ac:dyDescent="0.25">
      <c r="B116" s="99">
        <v>112</v>
      </c>
      <c r="C116" s="100" t="s">
        <v>581</v>
      </c>
      <c r="D116" s="100">
        <v>119</v>
      </c>
      <c r="E116" s="100" t="s">
        <v>974</v>
      </c>
      <c r="F116" s="101">
        <v>4.0999999999999996</v>
      </c>
      <c r="G116" s="101">
        <v>48790</v>
      </c>
      <c r="H116" s="100" t="s">
        <v>986</v>
      </c>
      <c r="I116" s="101">
        <v>7.6</v>
      </c>
      <c r="J116" s="101">
        <v>90519.73</v>
      </c>
      <c r="K116" s="100" t="s">
        <v>395</v>
      </c>
      <c r="L116" s="100">
        <v>-41809.46</v>
      </c>
      <c r="M116" s="102">
        <v>-0.1101</v>
      </c>
      <c r="N116" s="100"/>
      <c r="O116" s="101">
        <f t="shared" si="7"/>
        <v>-41729.729999999996</v>
      </c>
      <c r="P116" s="101">
        <f t="shared" si="8"/>
        <v>48710.27</v>
      </c>
      <c r="Q116" s="101">
        <f t="shared" si="12"/>
        <v>90519.73</v>
      </c>
      <c r="R116" s="101">
        <f t="shared" si="9"/>
        <v>-41809.46</v>
      </c>
      <c r="S116" s="101">
        <f t="shared" si="10"/>
        <v>0</v>
      </c>
      <c r="T116" s="103">
        <f t="shared" si="11"/>
        <v>0</v>
      </c>
    </row>
    <row r="117" spans="2:20" x14ac:dyDescent="0.25">
      <c r="B117" s="99">
        <v>113</v>
      </c>
      <c r="C117" s="100" t="s">
        <v>589</v>
      </c>
      <c r="D117" s="100">
        <v>48</v>
      </c>
      <c r="E117" s="100" t="s">
        <v>1000</v>
      </c>
      <c r="F117" s="101">
        <v>9.8000000000000007</v>
      </c>
      <c r="G117" s="101">
        <v>47040</v>
      </c>
      <c r="H117" s="100" t="s">
        <v>1017</v>
      </c>
      <c r="I117" s="101">
        <v>19.149999999999999</v>
      </c>
      <c r="J117" s="101">
        <v>91952.16</v>
      </c>
      <c r="K117" s="100" t="s">
        <v>395</v>
      </c>
      <c r="L117" s="100">
        <v>-44944.32</v>
      </c>
      <c r="M117" s="102">
        <v>-0.1038</v>
      </c>
      <c r="N117" s="100"/>
      <c r="O117" s="101">
        <f t="shared" si="7"/>
        <v>-44912.160000000003</v>
      </c>
      <c r="P117" s="101">
        <f t="shared" si="8"/>
        <v>47007.839999999997</v>
      </c>
      <c r="Q117" s="101">
        <f t="shared" si="12"/>
        <v>91952.16</v>
      </c>
      <c r="R117" s="101">
        <f t="shared" si="9"/>
        <v>-44944.320000000007</v>
      </c>
      <c r="S117" s="101">
        <f t="shared" si="10"/>
        <v>0</v>
      </c>
      <c r="T117" s="103">
        <f t="shared" si="11"/>
        <v>0</v>
      </c>
    </row>
    <row r="118" spans="2:20" x14ac:dyDescent="0.25">
      <c r="B118" s="99">
        <v>114</v>
      </c>
      <c r="C118" s="100" t="s">
        <v>589</v>
      </c>
      <c r="D118" s="100">
        <v>52</v>
      </c>
      <c r="E118" s="100" t="s">
        <v>1018</v>
      </c>
      <c r="F118" s="101">
        <v>9.0500000000000007</v>
      </c>
      <c r="G118" s="101">
        <v>47060</v>
      </c>
      <c r="H118" s="100" t="s">
        <v>1017</v>
      </c>
      <c r="I118" s="101">
        <v>18.350000000000001</v>
      </c>
      <c r="J118" s="101">
        <v>95454.84</v>
      </c>
      <c r="K118" s="100" t="s">
        <v>395</v>
      </c>
      <c r="L118" s="100">
        <v>-48429.68</v>
      </c>
      <c r="M118" s="102">
        <v>-0.1024</v>
      </c>
      <c r="N118" s="100"/>
      <c r="O118" s="101">
        <f t="shared" si="7"/>
        <v>-48394.84</v>
      </c>
      <c r="P118" s="101">
        <f t="shared" si="8"/>
        <v>47025.16</v>
      </c>
      <c r="Q118" s="101">
        <f t="shared" si="12"/>
        <v>95454.84</v>
      </c>
      <c r="R118" s="101">
        <f t="shared" si="9"/>
        <v>-48429.679999999993</v>
      </c>
      <c r="S118" s="101">
        <f t="shared" si="10"/>
        <v>0</v>
      </c>
      <c r="T118" s="103">
        <f t="shared" si="11"/>
        <v>0</v>
      </c>
    </row>
    <row r="119" spans="2:20" x14ac:dyDescent="0.25">
      <c r="B119" s="99">
        <v>115</v>
      </c>
      <c r="C119" s="100" t="s">
        <v>589</v>
      </c>
      <c r="D119" s="100">
        <v>57</v>
      </c>
      <c r="E119" s="100" t="s">
        <v>1002</v>
      </c>
      <c r="F119" s="101">
        <v>8.25</v>
      </c>
      <c r="G119" s="101">
        <v>47025</v>
      </c>
      <c r="H119" s="100" t="s">
        <v>1017</v>
      </c>
      <c r="I119" s="101">
        <v>16.2</v>
      </c>
      <c r="J119" s="101">
        <v>92378.19</v>
      </c>
      <c r="K119" s="100" t="s">
        <v>395</v>
      </c>
      <c r="L119" s="100">
        <v>-45391.38</v>
      </c>
      <c r="M119" s="102">
        <v>-9.1800000000000007E-2</v>
      </c>
      <c r="N119" s="100"/>
      <c r="O119" s="101">
        <f t="shared" si="7"/>
        <v>-45353.19</v>
      </c>
      <c r="P119" s="101">
        <f t="shared" si="8"/>
        <v>46986.81</v>
      </c>
      <c r="Q119" s="101">
        <f t="shared" si="12"/>
        <v>92378.19</v>
      </c>
      <c r="R119" s="101">
        <f t="shared" si="9"/>
        <v>-45391.380000000005</v>
      </c>
      <c r="S119" s="101">
        <f t="shared" si="10"/>
        <v>0</v>
      </c>
      <c r="T119" s="103">
        <f t="shared" si="11"/>
        <v>0</v>
      </c>
    </row>
    <row r="120" spans="2:20" x14ac:dyDescent="0.25">
      <c r="B120" s="99">
        <v>116</v>
      </c>
      <c r="C120" s="100" t="s">
        <v>930</v>
      </c>
      <c r="D120" s="100">
        <v>90</v>
      </c>
      <c r="E120" s="100" t="s">
        <v>1052</v>
      </c>
      <c r="F120" s="101">
        <v>5.8</v>
      </c>
      <c r="G120" s="101">
        <v>52200</v>
      </c>
      <c r="H120" s="100" t="s">
        <v>1053</v>
      </c>
      <c r="I120" s="101">
        <v>9.85</v>
      </c>
      <c r="J120" s="101">
        <v>88710.3</v>
      </c>
      <c r="K120" s="100" t="s">
        <v>395</v>
      </c>
      <c r="L120" s="100">
        <v>-36570.6</v>
      </c>
      <c r="M120" s="102">
        <v>-6.7500000000000004E-2</v>
      </c>
      <c r="N120" s="100"/>
      <c r="O120" s="101">
        <f t="shared" si="7"/>
        <v>-36510.300000000003</v>
      </c>
      <c r="P120" s="101">
        <f t="shared" si="8"/>
        <v>52139.7</v>
      </c>
      <c r="Q120" s="101">
        <f t="shared" si="12"/>
        <v>88710.3</v>
      </c>
      <c r="R120" s="101">
        <f t="shared" si="9"/>
        <v>-36570.600000000006</v>
      </c>
      <c r="S120" s="101">
        <f t="shared" si="10"/>
        <v>0</v>
      </c>
      <c r="T120" s="103">
        <f t="shared" si="11"/>
        <v>0</v>
      </c>
    </row>
    <row r="121" spans="2:20" x14ac:dyDescent="0.25">
      <c r="B121" s="99">
        <v>117</v>
      </c>
      <c r="C121" s="100" t="s">
        <v>930</v>
      </c>
      <c r="D121" s="100">
        <v>73</v>
      </c>
      <c r="E121" s="100" t="s">
        <v>1040</v>
      </c>
      <c r="F121" s="101">
        <v>7.45</v>
      </c>
      <c r="G121" s="101">
        <v>54385</v>
      </c>
      <c r="H121" s="100" t="s">
        <v>1053</v>
      </c>
      <c r="I121" s="101">
        <v>13.95</v>
      </c>
      <c r="J121" s="101">
        <v>101883.91</v>
      </c>
      <c r="K121" s="100" t="s">
        <v>395</v>
      </c>
      <c r="L121" s="100">
        <v>-47547.82</v>
      </c>
      <c r="M121" s="102">
        <v>-0.1076</v>
      </c>
      <c r="N121" s="100"/>
      <c r="O121" s="101">
        <f t="shared" si="7"/>
        <v>-47498.91</v>
      </c>
      <c r="P121" s="101">
        <f t="shared" si="8"/>
        <v>54336.09</v>
      </c>
      <c r="Q121" s="101">
        <f t="shared" si="12"/>
        <v>101883.90999999999</v>
      </c>
      <c r="R121" s="101">
        <f t="shared" si="9"/>
        <v>-47547.819999999992</v>
      </c>
      <c r="S121" s="101">
        <f t="shared" si="10"/>
        <v>0</v>
      </c>
      <c r="T121" s="103">
        <f t="shared" si="11"/>
        <v>0</v>
      </c>
    </row>
    <row r="122" spans="2:20" x14ac:dyDescent="0.25">
      <c r="B122" s="99">
        <v>118</v>
      </c>
      <c r="C122" s="100" t="s">
        <v>930</v>
      </c>
      <c r="D122" s="100">
        <v>82</v>
      </c>
      <c r="E122" s="100" t="s">
        <v>1041</v>
      </c>
      <c r="F122" s="101">
        <v>6.7</v>
      </c>
      <c r="G122" s="101">
        <v>54940</v>
      </c>
      <c r="H122" s="100" t="s">
        <v>1053</v>
      </c>
      <c r="I122" s="101">
        <v>12.95</v>
      </c>
      <c r="J122" s="101">
        <v>106244.94</v>
      </c>
      <c r="K122" s="100" t="s">
        <v>395</v>
      </c>
      <c r="L122" s="100">
        <v>-51359.88</v>
      </c>
      <c r="M122" s="102">
        <v>-0.10390000000000001</v>
      </c>
      <c r="N122" s="100"/>
      <c r="O122" s="101">
        <f t="shared" si="7"/>
        <v>-51304.94</v>
      </c>
      <c r="P122" s="101">
        <f t="shared" si="8"/>
        <v>54885.06</v>
      </c>
      <c r="Q122" s="101">
        <f t="shared" si="12"/>
        <v>106244.93999999999</v>
      </c>
      <c r="R122" s="101">
        <f t="shared" si="9"/>
        <v>-51359.87999999999</v>
      </c>
      <c r="S122" s="101">
        <f t="shared" si="10"/>
        <v>0</v>
      </c>
      <c r="T122" s="103">
        <f t="shared" si="11"/>
        <v>0</v>
      </c>
    </row>
    <row r="123" spans="2:20" x14ac:dyDescent="0.25">
      <c r="B123" s="99">
        <v>119</v>
      </c>
      <c r="C123" s="100" t="s">
        <v>930</v>
      </c>
      <c r="D123" s="100">
        <v>85</v>
      </c>
      <c r="E123" s="100" t="s">
        <v>1043</v>
      </c>
      <c r="F123" s="101">
        <v>6.45</v>
      </c>
      <c r="G123" s="101">
        <v>54825</v>
      </c>
      <c r="H123" s="100" t="s">
        <v>1053</v>
      </c>
      <c r="I123" s="101">
        <v>12.3</v>
      </c>
      <c r="J123" s="101">
        <v>104606.95</v>
      </c>
      <c r="K123" s="100" t="s">
        <v>395</v>
      </c>
      <c r="L123" s="100">
        <v>-49838.9</v>
      </c>
      <c r="M123" s="102">
        <v>-9.8500000000000004E-2</v>
      </c>
      <c r="N123" s="100"/>
      <c r="O123" s="101">
        <f t="shared" si="7"/>
        <v>-49781.95</v>
      </c>
      <c r="P123" s="101">
        <f t="shared" si="8"/>
        <v>54768.05</v>
      </c>
      <c r="Q123" s="101">
        <f t="shared" si="12"/>
        <v>104606.95</v>
      </c>
      <c r="R123" s="101">
        <f t="shared" si="9"/>
        <v>-49838.899999999994</v>
      </c>
      <c r="S123" s="101">
        <f t="shared" si="10"/>
        <v>0</v>
      </c>
      <c r="T123" s="103">
        <f t="shared" si="11"/>
        <v>0</v>
      </c>
    </row>
    <row r="124" spans="2:20" x14ac:dyDescent="0.25">
      <c r="B124" s="99">
        <v>120</v>
      </c>
      <c r="C124" s="100" t="s">
        <v>930</v>
      </c>
      <c r="D124" s="100">
        <v>95</v>
      </c>
      <c r="E124" s="100" t="s">
        <v>1048</v>
      </c>
      <c r="F124" s="101">
        <v>5.7</v>
      </c>
      <c r="G124" s="101">
        <v>54150</v>
      </c>
      <c r="H124" s="100" t="s">
        <v>1053</v>
      </c>
      <c r="I124" s="101">
        <v>11.95</v>
      </c>
      <c r="J124" s="101">
        <v>113588.65</v>
      </c>
      <c r="K124" s="100" t="s">
        <v>395</v>
      </c>
      <c r="L124" s="100">
        <v>-59502.3</v>
      </c>
      <c r="M124" s="102">
        <v>-0.1056</v>
      </c>
      <c r="N124" s="100"/>
      <c r="O124" s="101">
        <f t="shared" si="7"/>
        <v>-59438.649999999994</v>
      </c>
      <c r="P124" s="101">
        <f t="shared" si="8"/>
        <v>54086.35</v>
      </c>
      <c r="Q124" s="101">
        <f t="shared" si="12"/>
        <v>113588.65</v>
      </c>
      <c r="R124" s="101">
        <f t="shared" si="9"/>
        <v>-59502.299999999996</v>
      </c>
      <c r="S124" s="101">
        <f t="shared" si="10"/>
        <v>0</v>
      </c>
      <c r="T124" s="103">
        <f t="shared" si="11"/>
        <v>0</v>
      </c>
    </row>
    <row r="125" spans="2:20" x14ac:dyDescent="0.25">
      <c r="B125" s="99">
        <v>121</v>
      </c>
      <c r="C125" s="100" t="s">
        <v>930</v>
      </c>
      <c r="D125" s="100">
        <v>86</v>
      </c>
      <c r="E125" s="100" t="s">
        <v>1051</v>
      </c>
      <c r="F125" s="101">
        <v>6.35</v>
      </c>
      <c r="G125" s="101">
        <v>54610</v>
      </c>
      <c r="H125" s="100" t="s">
        <v>1053</v>
      </c>
      <c r="I125" s="101">
        <v>13.8</v>
      </c>
      <c r="J125" s="101">
        <v>118737.62</v>
      </c>
      <c r="K125" s="100" t="s">
        <v>395</v>
      </c>
      <c r="L125" s="100">
        <v>-64185.24</v>
      </c>
      <c r="M125" s="102">
        <v>-0.1191</v>
      </c>
      <c r="N125" s="100"/>
      <c r="O125" s="101">
        <f t="shared" si="7"/>
        <v>-64127.619999999995</v>
      </c>
      <c r="P125" s="101">
        <f t="shared" si="8"/>
        <v>54552.38</v>
      </c>
      <c r="Q125" s="101">
        <f t="shared" si="12"/>
        <v>118737.62</v>
      </c>
      <c r="R125" s="101">
        <f t="shared" si="9"/>
        <v>-64185.24</v>
      </c>
      <c r="S125" s="101">
        <f t="shared" si="10"/>
        <v>0</v>
      </c>
      <c r="T125" s="103">
        <f t="shared" si="11"/>
        <v>0</v>
      </c>
    </row>
    <row r="126" spans="2:20" ht="15.75" thickBot="1" x14ac:dyDescent="0.3">
      <c r="B126" s="104">
        <v>122</v>
      </c>
      <c r="C126" s="105" t="s">
        <v>943</v>
      </c>
      <c r="D126" s="105">
        <v>22</v>
      </c>
      <c r="E126" s="105" t="s">
        <v>1054</v>
      </c>
      <c r="F126" s="106">
        <v>24.25</v>
      </c>
      <c r="G126" s="106">
        <v>53350</v>
      </c>
      <c r="H126" s="105" t="s">
        <v>1053</v>
      </c>
      <c r="I126" s="106">
        <v>57.15</v>
      </c>
      <c r="J126" s="106">
        <v>125744.74</v>
      </c>
      <c r="K126" s="105" t="s">
        <v>395</v>
      </c>
      <c r="L126" s="105">
        <v>-72409.48</v>
      </c>
      <c r="M126" s="107">
        <v>-0.1313</v>
      </c>
      <c r="N126" s="105"/>
      <c r="O126" s="106">
        <f t="shared" si="7"/>
        <v>-72394.740000000005</v>
      </c>
      <c r="P126" s="106">
        <f t="shared" si="8"/>
        <v>53335.26</v>
      </c>
      <c r="Q126" s="106">
        <f t="shared" si="12"/>
        <v>125744.74</v>
      </c>
      <c r="R126" s="106">
        <f t="shared" si="9"/>
        <v>-72409.48000000001</v>
      </c>
      <c r="S126" s="106">
        <f t="shared" si="10"/>
        <v>0</v>
      </c>
      <c r="T126" s="108">
        <f t="shared" si="11"/>
        <v>0</v>
      </c>
    </row>
    <row r="127" spans="2:20" x14ac:dyDescent="0.25">
      <c r="B127" s="94">
        <v>123</v>
      </c>
      <c r="C127" s="95" t="s">
        <v>508</v>
      </c>
      <c r="D127" s="95">
        <v>42</v>
      </c>
      <c r="E127" s="95" t="s">
        <v>621</v>
      </c>
      <c r="F127" s="96">
        <v>5.9</v>
      </c>
      <c r="G127" s="96">
        <v>24780</v>
      </c>
      <c r="H127" s="95" t="s">
        <v>622</v>
      </c>
      <c r="I127" s="96">
        <v>10.15</v>
      </c>
      <c r="J127" s="96">
        <v>42658.14</v>
      </c>
      <c r="K127" s="95" t="s">
        <v>623</v>
      </c>
      <c r="L127" s="95">
        <v>-17906.28</v>
      </c>
      <c r="M127" s="97">
        <v>-6.6500000000000004E-2</v>
      </c>
      <c r="N127" s="95"/>
      <c r="O127" s="96">
        <f t="shared" si="7"/>
        <v>-17878.14</v>
      </c>
      <c r="P127" s="96">
        <f t="shared" si="8"/>
        <v>24751.86</v>
      </c>
      <c r="Q127" s="96">
        <f t="shared" si="12"/>
        <v>42658.14</v>
      </c>
      <c r="R127" s="96">
        <f t="shared" si="9"/>
        <v>-17906.28</v>
      </c>
      <c r="S127" s="96">
        <f t="shared" si="10"/>
        <v>0</v>
      </c>
      <c r="T127" s="98">
        <f t="shared" si="11"/>
        <v>0</v>
      </c>
    </row>
    <row r="128" spans="2:20" x14ac:dyDescent="0.25">
      <c r="B128" s="99">
        <v>124</v>
      </c>
      <c r="C128" s="100" t="s">
        <v>529</v>
      </c>
      <c r="D128" s="100">
        <v>20</v>
      </c>
      <c r="E128" s="100" t="s">
        <v>671</v>
      </c>
      <c r="F128" s="101">
        <v>17.3</v>
      </c>
      <c r="G128" s="101">
        <v>34600</v>
      </c>
      <c r="H128" s="100" t="s">
        <v>694</v>
      </c>
      <c r="I128" s="101">
        <v>28</v>
      </c>
      <c r="J128" s="101">
        <v>56013.4</v>
      </c>
      <c r="K128" s="100" t="s">
        <v>623</v>
      </c>
      <c r="L128" s="100">
        <v>-21426.799999999999</v>
      </c>
      <c r="M128" s="102">
        <v>-6.3899999999999998E-2</v>
      </c>
      <c r="N128" s="100"/>
      <c r="O128" s="101">
        <f t="shared" si="7"/>
        <v>-21413.4</v>
      </c>
      <c r="P128" s="101">
        <f t="shared" si="8"/>
        <v>34586.6</v>
      </c>
      <c r="Q128" s="101">
        <f t="shared" si="12"/>
        <v>56013.4</v>
      </c>
      <c r="R128" s="101">
        <f t="shared" si="9"/>
        <v>-21426.800000000003</v>
      </c>
      <c r="S128" s="101">
        <f t="shared" si="10"/>
        <v>0</v>
      </c>
      <c r="T128" s="103">
        <f t="shared" si="11"/>
        <v>0</v>
      </c>
    </row>
    <row r="129" spans="2:20" x14ac:dyDescent="0.25">
      <c r="B129" s="99">
        <v>125</v>
      </c>
      <c r="C129" s="100" t="s">
        <v>529</v>
      </c>
      <c r="D129" s="100">
        <v>18</v>
      </c>
      <c r="E129" s="100" t="s">
        <v>679</v>
      </c>
      <c r="F129" s="101">
        <v>20.149999999999999</v>
      </c>
      <c r="G129" s="101">
        <v>36270</v>
      </c>
      <c r="H129" s="100" t="s">
        <v>694</v>
      </c>
      <c r="I129" s="101">
        <v>30.6</v>
      </c>
      <c r="J129" s="101">
        <v>55092.06</v>
      </c>
      <c r="K129" s="100" t="s">
        <v>623</v>
      </c>
      <c r="L129" s="100">
        <v>-18834.12</v>
      </c>
      <c r="M129" s="102">
        <v>-6.5500000000000003E-2</v>
      </c>
      <c r="N129" s="100"/>
      <c r="O129" s="101">
        <f t="shared" si="7"/>
        <v>-18822.059999999998</v>
      </c>
      <c r="P129" s="101">
        <f t="shared" si="8"/>
        <v>36257.94</v>
      </c>
      <c r="Q129" s="101">
        <f t="shared" si="12"/>
        <v>55092.060000000005</v>
      </c>
      <c r="R129" s="101">
        <f t="shared" si="9"/>
        <v>-18834.120000000003</v>
      </c>
      <c r="S129" s="101">
        <f t="shared" si="10"/>
        <v>0</v>
      </c>
      <c r="T129" s="103">
        <f t="shared" si="11"/>
        <v>0</v>
      </c>
    </row>
    <row r="130" spans="2:20" x14ac:dyDescent="0.25">
      <c r="B130" s="99">
        <v>126</v>
      </c>
      <c r="C130" s="100" t="s">
        <v>529</v>
      </c>
      <c r="D130" s="100">
        <v>19</v>
      </c>
      <c r="E130" s="100" t="s">
        <v>695</v>
      </c>
      <c r="F130" s="101">
        <v>19</v>
      </c>
      <c r="G130" s="101">
        <v>36100</v>
      </c>
      <c r="H130" s="100" t="s">
        <v>694</v>
      </c>
      <c r="I130" s="101">
        <v>28</v>
      </c>
      <c r="J130" s="101">
        <v>53212.73</v>
      </c>
      <c r="K130" s="100" t="s">
        <v>623</v>
      </c>
      <c r="L130" s="100">
        <v>-17125.46</v>
      </c>
      <c r="M130" s="102">
        <v>-5.7799999999999997E-2</v>
      </c>
      <c r="N130" s="100"/>
      <c r="O130" s="101">
        <f t="shared" si="7"/>
        <v>-17112.730000000003</v>
      </c>
      <c r="P130" s="101">
        <f t="shared" si="8"/>
        <v>36087.269999999997</v>
      </c>
      <c r="Q130" s="101">
        <f t="shared" si="12"/>
        <v>53212.73</v>
      </c>
      <c r="R130" s="101">
        <f t="shared" si="9"/>
        <v>-17125.460000000006</v>
      </c>
      <c r="S130" s="101">
        <f t="shared" si="10"/>
        <v>0</v>
      </c>
      <c r="T130" s="103">
        <f t="shared" si="11"/>
        <v>0</v>
      </c>
    </row>
    <row r="131" spans="2:20" x14ac:dyDescent="0.25">
      <c r="B131" s="99">
        <v>127</v>
      </c>
      <c r="C131" s="100" t="s">
        <v>581</v>
      </c>
      <c r="D131" s="100">
        <v>46</v>
      </c>
      <c r="E131" s="100" t="s">
        <v>710</v>
      </c>
      <c r="F131" s="101">
        <v>7.35</v>
      </c>
      <c r="G131" s="101">
        <v>33810</v>
      </c>
      <c r="H131" s="100" t="s">
        <v>711</v>
      </c>
      <c r="I131" s="101">
        <v>11.9</v>
      </c>
      <c r="J131" s="101">
        <v>54770.82</v>
      </c>
      <c r="K131" s="100" t="s">
        <v>623</v>
      </c>
      <c r="L131" s="100">
        <v>-20991.64</v>
      </c>
      <c r="M131" s="102">
        <v>-0.13980000000000001</v>
      </c>
      <c r="N131" s="100"/>
      <c r="O131" s="101">
        <f t="shared" si="7"/>
        <v>-20960.82</v>
      </c>
      <c r="P131" s="101">
        <f t="shared" si="8"/>
        <v>33779.18</v>
      </c>
      <c r="Q131" s="101">
        <f t="shared" si="12"/>
        <v>54770.82</v>
      </c>
      <c r="R131" s="101">
        <f t="shared" si="9"/>
        <v>-20991.64</v>
      </c>
      <c r="S131" s="101">
        <f t="shared" si="10"/>
        <v>0</v>
      </c>
      <c r="T131" s="103">
        <f t="shared" si="11"/>
        <v>0</v>
      </c>
    </row>
    <row r="132" spans="2:20" x14ac:dyDescent="0.25">
      <c r="B132" s="99">
        <v>128</v>
      </c>
      <c r="C132" s="100" t="s">
        <v>524</v>
      </c>
      <c r="D132" s="100">
        <v>27</v>
      </c>
      <c r="E132" s="100" t="s">
        <v>712</v>
      </c>
      <c r="F132" s="101">
        <v>10.65</v>
      </c>
      <c r="G132" s="101">
        <v>28755</v>
      </c>
      <c r="H132" s="100" t="s">
        <v>713</v>
      </c>
      <c r="I132" s="101">
        <v>10.4</v>
      </c>
      <c r="J132" s="101">
        <v>28098.09</v>
      </c>
      <c r="K132" s="100" t="s">
        <v>623</v>
      </c>
      <c r="L132" s="100">
        <v>638.82000000000005</v>
      </c>
      <c r="M132" s="102">
        <v>3.0000000000000001E-3</v>
      </c>
      <c r="N132" s="100"/>
      <c r="O132" s="101">
        <f t="shared" si="7"/>
        <v>656.90999999999985</v>
      </c>
      <c r="P132" s="101">
        <f t="shared" si="8"/>
        <v>28736.91</v>
      </c>
      <c r="Q132" s="101">
        <f t="shared" si="12"/>
        <v>28098.09</v>
      </c>
      <c r="R132" s="101">
        <f t="shared" si="9"/>
        <v>638.81999999999971</v>
      </c>
      <c r="S132" s="101">
        <f t="shared" si="10"/>
        <v>0</v>
      </c>
      <c r="T132" s="103">
        <f t="shared" si="11"/>
        <v>0</v>
      </c>
    </row>
    <row r="133" spans="2:20" x14ac:dyDescent="0.25">
      <c r="B133" s="99">
        <v>129</v>
      </c>
      <c r="C133" s="100" t="s">
        <v>524</v>
      </c>
      <c r="D133" s="100">
        <v>32</v>
      </c>
      <c r="E133" s="100" t="s">
        <v>681</v>
      </c>
      <c r="F133" s="101">
        <v>11.65</v>
      </c>
      <c r="G133" s="101">
        <v>37280</v>
      </c>
      <c r="H133" s="100" t="s">
        <v>713</v>
      </c>
      <c r="I133" s="101">
        <v>17.45</v>
      </c>
      <c r="J133" s="101">
        <v>55861.440000000002</v>
      </c>
      <c r="K133" s="100" t="s">
        <v>623</v>
      </c>
      <c r="L133" s="100">
        <v>-18602.88</v>
      </c>
      <c r="M133" s="102">
        <v>-6.2300000000000001E-2</v>
      </c>
      <c r="N133" s="100"/>
      <c r="O133" s="101">
        <f t="shared" si="7"/>
        <v>-18581.440000000002</v>
      </c>
      <c r="P133" s="101">
        <f t="shared" si="8"/>
        <v>37258.559999999998</v>
      </c>
      <c r="Q133" s="101">
        <f t="shared" si="12"/>
        <v>55861.440000000002</v>
      </c>
      <c r="R133" s="101">
        <f t="shared" si="9"/>
        <v>-18602.880000000005</v>
      </c>
      <c r="S133" s="101">
        <f t="shared" si="10"/>
        <v>0</v>
      </c>
      <c r="T133" s="103">
        <f t="shared" si="11"/>
        <v>0</v>
      </c>
    </row>
    <row r="134" spans="2:20" x14ac:dyDescent="0.25">
      <c r="B134" s="99">
        <v>130</v>
      </c>
      <c r="C134" s="100" t="s">
        <v>524</v>
      </c>
      <c r="D134" s="100">
        <v>38</v>
      </c>
      <c r="E134" s="100" t="s">
        <v>714</v>
      </c>
      <c r="F134" s="101">
        <v>9.25</v>
      </c>
      <c r="G134" s="101">
        <v>35150</v>
      </c>
      <c r="H134" s="100" t="s">
        <v>713</v>
      </c>
      <c r="I134" s="101">
        <v>15.35</v>
      </c>
      <c r="J134" s="101">
        <v>58355.46</v>
      </c>
      <c r="K134" s="100" t="s">
        <v>623</v>
      </c>
      <c r="L134" s="100">
        <v>-23230.92</v>
      </c>
      <c r="M134" s="102">
        <v>-6.7400000000000002E-2</v>
      </c>
      <c r="N134" s="100"/>
      <c r="O134" s="101">
        <f t="shared" ref="O134:O197" si="13">G134-J134</f>
        <v>-23205.46</v>
      </c>
      <c r="P134" s="101">
        <f t="shared" ref="P134:P197" si="14">F134*D134*100 - D134*0.67</f>
        <v>35124.54</v>
      </c>
      <c r="Q134" s="101">
        <f t="shared" si="12"/>
        <v>58355.459999999992</v>
      </c>
      <c r="R134" s="101">
        <f t="shared" ref="R134:R197" si="15">P134-Q134</f>
        <v>-23230.919999999991</v>
      </c>
      <c r="S134" s="101">
        <f t="shared" ref="S134:S197" si="16">L134-R134</f>
        <v>0</v>
      </c>
      <c r="T134" s="103">
        <f t="shared" ref="T134:T197" si="17">S134/D134</f>
        <v>0</v>
      </c>
    </row>
    <row r="135" spans="2:20" x14ac:dyDescent="0.25">
      <c r="B135" s="99">
        <v>131</v>
      </c>
      <c r="C135" s="100" t="s">
        <v>524</v>
      </c>
      <c r="D135" s="100">
        <v>40</v>
      </c>
      <c r="E135" s="100" t="s">
        <v>715</v>
      </c>
      <c r="F135" s="101">
        <v>8.35</v>
      </c>
      <c r="G135" s="101">
        <v>33400</v>
      </c>
      <c r="H135" s="100" t="s">
        <v>713</v>
      </c>
      <c r="I135" s="101">
        <v>13.45</v>
      </c>
      <c r="J135" s="101">
        <v>53826.8</v>
      </c>
      <c r="K135" s="100" t="s">
        <v>623</v>
      </c>
      <c r="L135" s="100">
        <v>-20453.599999999999</v>
      </c>
      <c r="M135" s="102">
        <v>-5.8999999999999997E-2</v>
      </c>
      <c r="N135" s="100"/>
      <c r="O135" s="101">
        <f t="shared" si="13"/>
        <v>-20426.800000000003</v>
      </c>
      <c r="P135" s="101">
        <f t="shared" si="14"/>
        <v>33373.199999999997</v>
      </c>
      <c r="Q135" s="101">
        <f t="shared" si="12"/>
        <v>53826.8</v>
      </c>
      <c r="R135" s="101">
        <f t="shared" si="15"/>
        <v>-20453.600000000006</v>
      </c>
      <c r="S135" s="101">
        <f t="shared" si="16"/>
        <v>0</v>
      </c>
      <c r="T135" s="103">
        <f t="shared" si="17"/>
        <v>0</v>
      </c>
    </row>
    <row r="136" spans="2:20" x14ac:dyDescent="0.25">
      <c r="B136" s="99">
        <v>132</v>
      </c>
      <c r="C136" s="100" t="s">
        <v>396</v>
      </c>
      <c r="D136" s="100">
        <v>38</v>
      </c>
      <c r="E136" s="100" t="s">
        <v>716</v>
      </c>
      <c r="F136" s="101">
        <v>8.65</v>
      </c>
      <c r="G136" s="101">
        <v>32870</v>
      </c>
      <c r="H136" s="100" t="s">
        <v>717</v>
      </c>
      <c r="I136" s="101">
        <v>13.35</v>
      </c>
      <c r="J136" s="101">
        <v>50755.46</v>
      </c>
      <c r="K136" s="100" t="s">
        <v>623</v>
      </c>
      <c r="L136" s="100">
        <v>-17910.919999999998</v>
      </c>
      <c r="M136" s="102">
        <v>-5.2999999999999999E-2</v>
      </c>
      <c r="N136" s="100"/>
      <c r="O136" s="101">
        <f t="shared" si="13"/>
        <v>-17885.46</v>
      </c>
      <c r="P136" s="101">
        <f t="shared" si="14"/>
        <v>32844.54</v>
      </c>
      <c r="Q136" s="101">
        <f t="shared" si="12"/>
        <v>50755.46</v>
      </c>
      <c r="R136" s="101">
        <f t="shared" si="15"/>
        <v>-17910.919999999998</v>
      </c>
      <c r="S136" s="101">
        <f t="shared" si="16"/>
        <v>0</v>
      </c>
      <c r="T136" s="103">
        <f t="shared" si="17"/>
        <v>0</v>
      </c>
    </row>
    <row r="137" spans="2:20" x14ac:dyDescent="0.25">
      <c r="B137" s="99">
        <v>133</v>
      </c>
      <c r="C137" s="100" t="s">
        <v>396</v>
      </c>
      <c r="D137" s="100">
        <v>39</v>
      </c>
      <c r="E137" s="100" t="s">
        <v>718</v>
      </c>
      <c r="F137" s="101">
        <v>8.35</v>
      </c>
      <c r="G137" s="101">
        <v>32565</v>
      </c>
      <c r="H137" s="100" t="s">
        <v>717</v>
      </c>
      <c r="I137" s="101">
        <v>14.55</v>
      </c>
      <c r="J137" s="101">
        <v>56771.13</v>
      </c>
      <c r="K137" s="100" t="s">
        <v>623</v>
      </c>
      <c r="L137" s="100">
        <v>-24232.26</v>
      </c>
      <c r="M137" s="102">
        <v>-6.7799999999999999E-2</v>
      </c>
      <c r="N137" s="100"/>
      <c r="O137" s="101">
        <f t="shared" si="13"/>
        <v>-24206.129999999997</v>
      </c>
      <c r="P137" s="101">
        <f t="shared" si="14"/>
        <v>32538.869999999995</v>
      </c>
      <c r="Q137" s="101">
        <f t="shared" si="12"/>
        <v>56771.130000000005</v>
      </c>
      <c r="R137" s="101">
        <f t="shared" si="15"/>
        <v>-24232.260000000009</v>
      </c>
      <c r="S137" s="101">
        <f t="shared" si="16"/>
        <v>0</v>
      </c>
      <c r="T137" s="103">
        <f t="shared" si="17"/>
        <v>0</v>
      </c>
    </row>
    <row r="138" spans="2:20" x14ac:dyDescent="0.25">
      <c r="B138" s="99">
        <v>134</v>
      </c>
      <c r="C138" s="100" t="s">
        <v>508</v>
      </c>
      <c r="D138" s="100">
        <v>54</v>
      </c>
      <c r="E138" s="100" t="s">
        <v>719</v>
      </c>
      <c r="F138" s="101">
        <v>5.9</v>
      </c>
      <c r="G138" s="101">
        <v>31860</v>
      </c>
      <c r="H138" s="100" t="s">
        <v>717</v>
      </c>
      <c r="I138" s="101">
        <v>14.65</v>
      </c>
      <c r="J138" s="101">
        <v>79146.179999999993</v>
      </c>
      <c r="K138" s="100" t="s">
        <v>623</v>
      </c>
      <c r="L138" s="100">
        <v>-47322.36</v>
      </c>
      <c r="M138" s="102">
        <v>-0.13669999999999999</v>
      </c>
      <c r="N138" s="100"/>
      <c r="O138" s="101">
        <f t="shared" si="13"/>
        <v>-47286.179999999993</v>
      </c>
      <c r="P138" s="101">
        <f t="shared" si="14"/>
        <v>31823.820000000003</v>
      </c>
      <c r="Q138" s="101">
        <f t="shared" si="12"/>
        <v>79146.179999999993</v>
      </c>
      <c r="R138" s="101">
        <f t="shared" si="15"/>
        <v>-47322.359999999986</v>
      </c>
      <c r="S138" s="101">
        <f t="shared" si="16"/>
        <v>0</v>
      </c>
      <c r="T138" s="103">
        <f t="shared" si="17"/>
        <v>0</v>
      </c>
    </row>
    <row r="139" spans="2:20" x14ac:dyDescent="0.25">
      <c r="B139" s="99">
        <v>135</v>
      </c>
      <c r="C139" s="100" t="s">
        <v>396</v>
      </c>
      <c r="D139" s="100">
        <v>32</v>
      </c>
      <c r="E139" s="100" t="s">
        <v>720</v>
      </c>
      <c r="F139" s="101">
        <v>9.85</v>
      </c>
      <c r="G139" s="101">
        <v>31520</v>
      </c>
      <c r="H139" s="100" t="s">
        <v>717</v>
      </c>
      <c r="I139" s="101">
        <v>16.3</v>
      </c>
      <c r="J139" s="101">
        <v>52181.440000000002</v>
      </c>
      <c r="K139" s="100" t="s">
        <v>623</v>
      </c>
      <c r="L139" s="100">
        <v>-20682.88</v>
      </c>
      <c r="M139" s="102">
        <v>-7.17E-2</v>
      </c>
      <c r="N139" s="100"/>
      <c r="O139" s="101">
        <f t="shared" si="13"/>
        <v>-20661.440000000002</v>
      </c>
      <c r="P139" s="101">
        <f t="shared" si="14"/>
        <v>31498.560000000001</v>
      </c>
      <c r="Q139" s="101">
        <f t="shared" si="12"/>
        <v>52181.440000000002</v>
      </c>
      <c r="R139" s="101">
        <f t="shared" si="15"/>
        <v>-20682.88</v>
      </c>
      <c r="S139" s="101">
        <f t="shared" si="16"/>
        <v>0</v>
      </c>
      <c r="T139" s="103">
        <f t="shared" si="17"/>
        <v>0</v>
      </c>
    </row>
    <row r="140" spans="2:20" x14ac:dyDescent="0.25">
      <c r="B140" s="99">
        <v>136</v>
      </c>
      <c r="C140" s="100" t="s">
        <v>736</v>
      </c>
      <c r="D140" s="100">
        <v>20</v>
      </c>
      <c r="E140" s="100" t="s">
        <v>737</v>
      </c>
      <c r="F140" s="101">
        <v>14.45</v>
      </c>
      <c r="G140" s="101">
        <v>28900</v>
      </c>
      <c r="H140" s="100" t="s">
        <v>738</v>
      </c>
      <c r="I140" s="101">
        <v>24.4</v>
      </c>
      <c r="J140" s="101">
        <v>48813.4</v>
      </c>
      <c r="K140" s="100" t="s">
        <v>623</v>
      </c>
      <c r="L140" s="100">
        <v>-19926.8</v>
      </c>
      <c r="M140" s="102">
        <v>-7.0900000000000005E-2</v>
      </c>
      <c r="N140" s="100"/>
      <c r="O140" s="101">
        <f t="shared" si="13"/>
        <v>-19913.400000000001</v>
      </c>
      <c r="P140" s="101">
        <f t="shared" si="14"/>
        <v>28886.6</v>
      </c>
      <c r="Q140" s="101">
        <f t="shared" si="12"/>
        <v>48813.4</v>
      </c>
      <c r="R140" s="101">
        <f t="shared" si="15"/>
        <v>-19926.800000000003</v>
      </c>
      <c r="S140" s="101">
        <f t="shared" si="16"/>
        <v>0</v>
      </c>
      <c r="T140" s="103">
        <f t="shared" si="17"/>
        <v>0</v>
      </c>
    </row>
    <row r="141" spans="2:20" x14ac:dyDescent="0.25">
      <c r="B141" s="99">
        <v>137</v>
      </c>
      <c r="C141" s="100" t="s">
        <v>721</v>
      </c>
      <c r="D141" s="100">
        <v>37</v>
      </c>
      <c r="E141" s="100" t="s">
        <v>739</v>
      </c>
      <c r="F141" s="101">
        <v>8.4</v>
      </c>
      <c r="G141" s="101">
        <v>31080</v>
      </c>
      <c r="H141" s="100" t="s">
        <v>740</v>
      </c>
      <c r="I141" s="101">
        <v>13.4</v>
      </c>
      <c r="J141" s="101">
        <v>49604.79</v>
      </c>
      <c r="K141" s="100" t="s">
        <v>623</v>
      </c>
      <c r="L141" s="100">
        <v>-18549.580000000002</v>
      </c>
      <c r="M141" s="102">
        <v>-5.79E-2</v>
      </c>
      <c r="N141" s="100"/>
      <c r="O141" s="101">
        <f t="shared" si="13"/>
        <v>-18524.79</v>
      </c>
      <c r="P141" s="101">
        <f t="shared" si="14"/>
        <v>31055.21</v>
      </c>
      <c r="Q141" s="101">
        <f t="shared" si="12"/>
        <v>49604.79</v>
      </c>
      <c r="R141" s="101">
        <f t="shared" si="15"/>
        <v>-18549.580000000002</v>
      </c>
      <c r="S141" s="101">
        <f t="shared" si="16"/>
        <v>0</v>
      </c>
      <c r="T141" s="103">
        <f t="shared" si="17"/>
        <v>0</v>
      </c>
    </row>
    <row r="142" spans="2:20" x14ac:dyDescent="0.25">
      <c r="B142" s="99">
        <v>138</v>
      </c>
      <c r="C142" s="100" t="s">
        <v>721</v>
      </c>
      <c r="D142" s="100">
        <v>35</v>
      </c>
      <c r="E142" s="100" t="s">
        <v>741</v>
      </c>
      <c r="F142" s="101">
        <v>8.6</v>
      </c>
      <c r="G142" s="101">
        <v>30100</v>
      </c>
      <c r="H142" s="100" t="s">
        <v>740</v>
      </c>
      <c r="I142" s="101">
        <v>11</v>
      </c>
      <c r="J142" s="101">
        <v>38523.449999999997</v>
      </c>
      <c r="K142" s="100" t="s">
        <v>623</v>
      </c>
      <c r="L142" s="100">
        <v>-8446.9</v>
      </c>
      <c r="M142" s="102">
        <v>-2.9600000000000001E-2</v>
      </c>
      <c r="N142" s="100"/>
      <c r="O142" s="101">
        <f t="shared" si="13"/>
        <v>-8423.4499999999971</v>
      </c>
      <c r="P142" s="101">
        <f t="shared" si="14"/>
        <v>30076.55</v>
      </c>
      <c r="Q142" s="101">
        <f t="shared" si="12"/>
        <v>38523.449999999997</v>
      </c>
      <c r="R142" s="101">
        <f t="shared" si="15"/>
        <v>-8446.8999999999978</v>
      </c>
      <c r="S142" s="101">
        <f t="shared" si="16"/>
        <v>0</v>
      </c>
      <c r="T142" s="103">
        <f t="shared" si="17"/>
        <v>0</v>
      </c>
    </row>
    <row r="143" spans="2:20" x14ac:dyDescent="0.25">
      <c r="B143" s="99">
        <v>139</v>
      </c>
      <c r="C143" s="100" t="s">
        <v>589</v>
      </c>
      <c r="D143" s="100">
        <v>13</v>
      </c>
      <c r="E143" s="100" t="s">
        <v>742</v>
      </c>
      <c r="F143" s="101">
        <v>21.15</v>
      </c>
      <c r="G143" s="101">
        <v>27495</v>
      </c>
      <c r="H143" s="100" t="s">
        <v>743</v>
      </c>
      <c r="I143" s="101">
        <v>36.799999999999997</v>
      </c>
      <c r="J143" s="101">
        <v>47848.71</v>
      </c>
      <c r="K143" s="100" t="s">
        <v>623</v>
      </c>
      <c r="L143" s="100">
        <v>-20362.419999999998</v>
      </c>
      <c r="M143" s="102">
        <v>-0.11700000000000001</v>
      </c>
      <c r="N143" s="100"/>
      <c r="O143" s="101">
        <f t="shared" si="13"/>
        <v>-20353.71</v>
      </c>
      <c r="P143" s="101">
        <f t="shared" si="14"/>
        <v>27486.29</v>
      </c>
      <c r="Q143" s="101">
        <f t="shared" si="12"/>
        <v>47848.71</v>
      </c>
      <c r="R143" s="101">
        <f t="shared" si="15"/>
        <v>-20362.419999999998</v>
      </c>
      <c r="S143" s="101">
        <f t="shared" si="16"/>
        <v>0</v>
      </c>
      <c r="T143" s="103">
        <f t="shared" si="17"/>
        <v>0</v>
      </c>
    </row>
    <row r="144" spans="2:20" x14ac:dyDescent="0.25">
      <c r="B144" s="99">
        <v>140</v>
      </c>
      <c r="C144" s="100" t="s">
        <v>759</v>
      </c>
      <c r="D144" s="100">
        <v>32</v>
      </c>
      <c r="E144" s="100" t="s">
        <v>760</v>
      </c>
      <c r="F144" s="101">
        <v>9.1999999999999993</v>
      </c>
      <c r="G144" s="101">
        <v>29440</v>
      </c>
      <c r="H144" s="100" t="s">
        <v>761</v>
      </c>
      <c r="I144" s="101">
        <v>15.35</v>
      </c>
      <c r="J144" s="101">
        <v>49141.440000000002</v>
      </c>
      <c r="K144" s="100" t="s">
        <v>623</v>
      </c>
      <c r="L144" s="100">
        <v>-19722.88</v>
      </c>
      <c r="M144" s="102">
        <v>-6.4299999999999996E-2</v>
      </c>
      <c r="N144" s="100"/>
      <c r="O144" s="101">
        <f t="shared" si="13"/>
        <v>-19701.440000000002</v>
      </c>
      <c r="P144" s="101">
        <f t="shared" si="14"/>
        <v>29418.559999999998</v>
      </c>
      <c r="Q144" s="101">
        <f t="shared" si="12"/>
        <v>49141.440000000002</v>
      </c>
      <c r="R144" s="101">
        <f t="shared" si="15"/>
        <v>-19722.880000000005</v>
      </c>
      <c r="S144" s="101">
        <f t="shared" si="16"/>
        <v>0</v>
      </c>
      <c r="T144" s="103">
        <f t="shared" si="17"/>
        <v>0</v>
      </c>
    </row>
    <row r="145" spans="2:20" x14ac:dyDescent="0.25">
      <c r="B145" s="99">
        <v>141</v>
      </c>
      <c r="C145" s="100" t="s">
        <v>797</v>
      </c>
      <c r="D145" s="100">
        <v>82</v>
      </c>
      <c r="E145" s="100" t="s">
        <v>798</v>
      </c>
      <c r="F145" s="101">
        <v>3.95</v>
      </c>
      <c r="G145" s="101">
        <v>32390</v>
      </c>
      <c r="H145" s="100" t="s">
        <v>799</v>
      </c>
      <c r="I145" s="101">
        <v>6.1</v>
      </c>
      <c r="J145" s="101">
        <v>50074.94</v>
      </c>
      <c r="K145" s="100" t="s">
        <v>623</v>
      </c>
      <c r="L145" s="100">
        <v>-17739.88</v>
      </c>
      <c r="M145" s="102">
        <v>-5.2699999999999997E-2</v>
      </c>
      <c r="N145" s="100"/>
      <c r="O145" s="101">
        <f t="shared" si="13"/>
        <v>-17684.940000000002</v>
      </c>
      <c r="P145" s="101">
        <f t="shared" si="14"/>
        <v>32335.060000000005</v>
      </c>
      <c r="Q145" s="101">
        <f t="shared" si="12"/>
        <v>50074.94</v>
      </c>
      <c r="R145" s="101">
        <f t="shared" si="15"/>
        <v>-17739.879999999997</v>
      </c>
      <c r="S145" s="101">
        <f t="shared" si="16"/>
        <v>0</v>
      </c>
      <c r="T145" s="103">
        <f t="shared" si="17"/>
        <v>0</v>
      </c>
    </row>
    <row r="146" spans="2:20" x14ac:dyDescent="0.25">
      <c r="B146" s="99">
        <v>142</v>
      </c>
      <c r="C146" s="100" t="s">
        <v>797</v>
      </c>
      <c r="D146" s="100">
        <v>81</v>
      </c>
      <c r="E146" s="100" t="s">
        <v>800</v>
      </c>
      <c r="F146" s="101">
        <v>4.1500000000000004</v>
      </c>
      <c r="G146" s="101">
        <v>33615</v>
      </c>
      <c r="H146" s="100" t="s">
        <v>799</v>
      </c>
      <c r="I146" s="101">
        <v>7.45</v>
      </c>
      <c r="J146" s="101">
        <v>60399.27</v>
      </c>
      <c r="K146" s="100" t="s">
        <v>623</v>
      </c>
      <c r="L146" s="100">
        <v>-26838.54</v>
      </c>
      <c r="M146" s="102">
        <v>-7.6399999999999996E-2</v>
      </c>
      <c r="N146" s="100"/>
      <c r="O146" s="101">
        <f t="shared" si="13"/>
        <v>-26784.269999999997</v>
      </c>
      <c r="P146" s="101">
        <f t="shared" si="14"/>
        <v>33560.730000000003</v>
      </c>
      <c r="Q146" s="101">
        <f t="shared" si="12"/>
        <v>60399.270000000004</v>
      </c>
      <c r="R146" s="101">
        <f t="shared" si="15"/>
        <v>-26838.54</v>
      </c>
      <c r="S146" s="101">
        <f t="shared" si="16"/>
        <v>0</v>
      </c>
      <c r="T146" s="103">
        <f t="shared" si="17"/>
        <v>0</v>
      </c>
    </row>
    <row r="147" spans="2:20" x14ac:dyDescent="0.25">
      <c r="B147" s="99">
        <v>143</v>
      </c>
      <c r="C147" s="100" t="s">
        <v>831</v>
      </c>
      <c r="D147" s="100">
        <v>87</v>
      </c>
      <c r="E147" s="100" t="s">
        <v>832</v>
      </c>
      <c r="F147" s="101">
        <v>4</v>
      </c>
      <c r="G147" s="101">
        <v>34800</v>
      </c>
      <c r="H147" s="100" t="s">
        <v>833</v>
      </c>
      <c r="I147" s="101">
        <v>5.5</v>
      </c>
      <c r="J147" s="101">
        <v>47908.29</v>
      </c>
      <c r="K147" s="100" t="s">
        <v>623</v>
      </c>
      <c r="L147" s="100">
        <v>-13166.58</v>
      </c>
      <c r="M147" s="102">
        <v>-4.8800000000000003E-2</v>
      </c>
      <c r="N147" s="100"/>
      <c r="O147" s="101">
        <f t="shared" si="13"/>
        <v>-13108.29</v>
      </c>
      <c r="P147" s="101">
        <f t="shared" si="14"/>
        <v>34741.71</v>
      </c>
      <c r="Q147" s="101">
        <f t="shared" si="12"/>
        <v>47908.29</v>
      </c>
      <c r="R147" s="101">
        <f t="shared" si="15"/>
        <v>-13166.580000000002</v>
      </c>
      <c r="S147" s="101">
        <f t="shared" si="16"/>
        <v>0</v>
      </c>
      <c r="T147" s="103">
        <f t="shared" si="17"/>
        <v>0</v>
      </c>
    </row>
    <row r="148" spans="2:20" x14ac:dyDescent="0.25">
      <c r="B148" s="99">
        <v>144</v>
      </c>
      <c r="C148" s="100" t="s">
        <v>831</v>
      </c>
      <c r="D148" s="100">
        <v>97</v>
      </c>
      <c r="E148" s="100" t="s">
        <v>834</v>
      </c>
      <c r="F148" s="101">
        <v>3.6</v>
      </c>
      <c r="G148" s="101">
        <v>34920</v>
      </c>
      <c r="H148" s="100" t="s">
        <v>833</v>
      </c>
      <c r="I148" s="101">
        <v>4.5999999999999996</v>
      </c>
      <c r="J148" s="101">
        <v>44684.99</v>
      </c>
      <c r="K148" s="100" t="s">
        <v>623</v>
      </c>
      <c r="L148" s="100">
        <v>-9829.98</v>
      </c>
      <c r="M148" s="102">
        <v>-3.2300000000000002E-2</v>
      </c>
      <c r="N148" s="100"/>
      <c r="O148" s="101">
        <f t="shared" si="13"/>
        <v>-9764.989999999998</v>
      </c>
      <c r="P148" s="101">
        <f t="shared" si="14"/>
        <v>34855.01</v>
      </c>
      <c r="Q148" s="101">
        <f t="shared" si="12"/>
        <v>44684.99</v>
      </c>
      <c r="R148" s="101">
        <f t="shared" si="15"/>
        <v>-9829.9799999999959</v>
      </c>
      <c r="S148" s="101">
        <f t="shared" si="16"/>
        <v>0</v>
      </c>
      <c r="T148" s="103">
        <f t="shared" si="17"/>
        <v>0</v>
      </c>
    </row>
    <row r="149" spans="2:20" x14ac:dyDescent="0.25">
      <c r="B149" s="99">
        <v>145</v>
      </c>
      <c r="C149" s="100" t="s">
        <v>831</v>
      </c>
      <c r="D149" s="100">
        <v>103</v>
      </c>
      <c r="E149" s="100" t="s">
        <v>835</v>
      </c>
      <c r="F149" s="101">
        <v>3.7</v>
      </c>
      <c r="G149" s="101">
        <v>38110</v>
      </c>
      <c r="H149" s="100" t="s">
        <v>833</v>
      </c>
      <c r="I149" s="101">
        <v>6</v>
      </c>
      <c r="J149" s="101">
        <v>61869.01</v>
      </c>
      <c r="K149" s="100" t="s">
        <v>623</v>
      </c>
      <c r="L149" s="100">
        <v>-23828.02</v>
      </c>
      <c r="M149" s="102">
        <v>-7.1599999999999997E-2</v>
      </c>
      <c r="N149" s="100"/>
      <c r="O149" s="101">
        <f t="shared" si="13"/>
        <v>-23759.010000000002</v>
      </c>
      <c r="P149" s="101">
        <f t="shared" si="14"/>
        <v>38040.99</v>
      </c>
      <c r="Q149" s="101">
        <f t="shared" si="12"/>
        <v>61869.01</v>
      </c>
      <c r="R149" s="101">
        <f t="shared" si="15"/>
        <v>-23828.020000000004</v>
      </c>
      <c r="S149" s="101">
        <f t="shared" si="16"/>
        <v>0</v>
      </c>
      <c r="T149" s="103">
        <f t="shared" si="17"/>
        <v>0</v>
      </c>
    </row>
    <row r="150" spans="2:20" x14ac:dyDescent="0.25">
      <c r="B150" s="99">
        <v>146</v>
      </c>
      <c r="C150" s="100" t="s">
        <v>769</v>
      </c>
      <c r="D150" s="100">
        <v>47</v>
      </c>
      <c r="E150" s="100" t="s">
        <v>796</v>
      </c>
      <c r="F150" s="101">
        <v>7.4</v>
      </c>
      <c r="G150" s="101">
        <v>34780</v>
      </c>
      <c r="H150" s="100" t="s">
        <v>836</v>
      </c>
      <c r="I150" s="101">
        <v>9</v>
      </c>
      <c r="J150" s="101">
        <v>42331.49</v>
      </c>
      <c r="K150" s="100" t="s">
        <v>623</v>
      </c>
      <c r="L150" s="100">
        <v>-7582.98</v>
      </c>
      <c r="M150" s="102">
        <v>-2.2200000000000001E-2</v>
      </c>
      <c r="N150" s="100"/>
      <c r="O150" s="101">
        <f t="shared" si="13"/>
        <v>-7551.489999999998</v>
      </c>
      <c r="P150" s="101">
        <f t="shared" si="14"/>
        <v>34748.51</v>
      </c>
      <c r="Q150" s="101">
        <f t="shared" si="12"/>
        <v>42331.49</v>
      </c>
      <c r="R150" s="101">
        <f t="shared" si="15"/>
        <v>-7582.9799999999959</v>
      </c>
      <c r="S150" s="101">
        <f t="shared" si="16"/>
        <v>0</v>
      </c>
      <c r="T150" s="103">
        <f t="shared" si="17"/>
        <v>0</v>
      </c>
    </row>
    <row r="151" spans="2:20" x14ac:dyDescent="0.25">
      <c r="B151" s="99">
        <v>147</v>
      </c>
      <c r="C151" s="100" t="s">
        <v>769</v>
      </c>
      <c r="D151" s="100">
        <v>51</v>
      </c>
      <c r="E151" s="100" t="s">
        <v>837</v>
      </c>
      <c r="F151" s="101">
        <v>7</v>
      </c>
      <c r="G151" s="101">
        <v>35700</v>
      </c>
      <c r="H151" s="100" t="s">
        <v>836</v>
      </c>
      <c r="I151" s="101">
        <v>10.199999999999999</v>
      </c>
      <c r="J151" s="101">
        <v>52054.17</v>
      </c>
      <c r="K151" s="100" t="s">
        <v>623</v>
      </c>
      <c r="L151" s="100">
        <v>-16388.34</v>
      </c>
      <c r="M151" s="102">
        <v>-4.2599999999999999E-2</v>
      </c>
      <c r="N151" s="100"/>
      <c r="O151" s="101">
        <f t="shared" si="13"/>
        <v>-16354.169999999998</v>
      </c>
      <c r="P151" s="101">
        <f t="shared" si="14"/>
        <v>35665.83</v>
      </c>
      <c r="Q151" s="101">
        <f t="shared" si="12"/>
        <v>52054.169999999991</v>
      </c>
      <c r="R151" s="101">
        <f t="shared" si="15"/>
        <v>-16388.339999999989</v>
      </c>
      <c r="S151" s="101">
        <f t="shared" si="16"/>
        <v>0</v>
      </c>
      <c r="T151" s="103">
        <f t="shared" si="17"/>
        <v>0</v>
      </c>
    </row>
    <row r="152" spans="2:20" x14ac:dyDescent="0.25">
      <c r="B152" s="99">
        <v>148</v>
      </c>
      <c r="C152" s="100" t="s">
        <v>855</v>
      </c>
      <c r="D152" s="100">
        <v>16</v>
      </c>
      <c r="E152" s="100" t="s">
        <v>873</v>
      </c>
      <c r="F152" s="101">
        <v>25.4</v>
      </c>
      <c r="G152" s="101">
        <v>40640</v>
      </c>
      <c r="H152" s="100" t="s">
        <v>874</v>
      </c>
      <c r="I152" s="101">
        <v>27</v>
      </c>
      <c r="J152" s="101">
        <v>43210.720000000001</v>
      </c>
      <c r="K152" s="100" t="s">
        <v>623</v>
      </c>
      <c r="L152" s="100">
        <v>-2581.44</v>
      </c>
      <c r="M152" s="102">
        <v>-6.1000000000000004E-3</v>
      </c>
      <c r="N152" s="100"/>
      <c r="O152" s="101">
        <f t="shared" si="13"/>
        <v>-2570.7200000000012</v>
      </c>
      <c r="P152" s="101">
        <f t="shared" si="14"/>
        <v>40629.279999999999</v>
      </c>
      <c r="Q152" s="101">
        <f t="shared" si="12"/>
        <v>43210.720000000001</v>
      </c>
      <c r="R152" s="101">
        <f t="shared" si="15"/>
        <v>-2581.4400000000023</v>
      </c>
      <c r="S152" s="101">
        <f t="shared" si="16"/>
        <v>0</v>
      </c>
      <c r="T152" s="103">
        <f t="shared" si="17"/>
        <v>0</v>
      </c>
    </row>
    <row r="153" spans="2:20" x14ac:dyDescent="0.25">
      <c r="B153" s="99">
        <v>149</v>
      </c>
      <c r="C153" s="100" t="s">
        <v>855</v>
      </c>
      <c r="D153" s="100">
        <v>15</v>
      </c>
      <c r="E153" s="100" t="s">
        <v>827</v>
      </c>
      <c r="F153" s="101">
        <v>27.5</v>
      </c>
      <c r="G153" s="101">
        <v>41250</v>
      </c>
      <c r="H153" s="100" t="s">
        <v>874</v>
      </c>
      <c r="I153" s="101">
        <v>36</v>
      </c>
      <c r="J153" s="101">
        <v>54010.05</v>
      </c>
      <c r="K153" s="100" t="s">
        <v>623</v>
      </c>
      <c r="L153" s="100">
        <v>-12770.1</v>
      </c>
      <c r="M153" s="102">
        <v>-3.0099999999999998E-2</v>
      </c>
      <c r="N153" s="100"/>
      <c r="O153" s="101">
        <f t="shared" si="13"/>
        <v>-12760.050000000003</v>
      </c>
      <c r="P153" s="101">
        <f t="shared" si="14"/>
        <v>41239.949999999997</v>
      </c>
      <c r="Q153" s="101">
        <f t="shared" ref="Q153:Q216" si="18">I153*D153*100 + D153*0.67</f>
        <v>54010.05</v>
      </c>
      <c r="R153" s="101">
        <f t="shared" si="15"/>
        <v>-12770.100000000006</v>
      </c>
      <c r="S153" s="101">
        <f t="shared" si="16"/>
        <v>0</v>
      </c>
      <c r="T153" s="103">
        <f t="shared" si="17"/>
        <v>0</v>
      </c>
    </row>
    <row r="154" spans="2:20" x14ac:dyDescent="0.25">
      <c r="B154" s="99">
        <v>150</v>
      </c>
      <c r="C154" s="100" t="s">
        <v>855</v>
      </c>
      <c r="D154" s="100">
        <v>16</v>
      </c>
      <c r="E154" s="100" t="s">
        <v>875</v>
      </c>
      <c r="F154" s="101">
        <v>25.4</v>
      </c>
      <c r="G154" s="101">
        <v>40640</v>
      </c>
      <c r="H154" s="100" t="s">
        <v>874</v>
      </c>
      <c r="I154" s="101">
        <v>31</v>
      </c>
      <c r="J154" s="101">
        <v>49610.720000000001</v>
      </c>
      <c r="K154" s="100" t="s">
        <v>623</v>
      </c>
      <c r="L154" s="100">
        <v>-8981.44</v>
      </c>
      <c r="M154" s="102">
        <v>-2.0400000000000001E-2</v>
      </c>
      <c r="N154" s="100"/>
      <c r="O154" s="101">
        <f t="shared" si="13"/>
        <v>-8970.7200000000012</v>
      </c>
      <c r="P154" s="101">
        <f t="shared" si="14"/>
        <v>40629.279999999999</v>
      </c>
      <c r="Q154" s="101">
        <f t="shared" si="18"/>
        <v>49610.720000000001</v>
      </c>
      <c r="R154" s="101">
        <f t="shared" si="15"/>
        <v>-8981.4400000000023</v>
      </c>
      <c r="S154" s="101">
        <f t="shared" si="16"/>
        <v>0</v>
      </c>
      <c r="T154" s="103">
        <f t="shared" si="17"/>
        <v>0</v>
      </c>
    </row>
    <row r="155" spans="2:20" x14ac:dyDescent="0.25">
      <c r="B155" s="99">
        <v>151</v>
      </c>
      <c r="C155" s="100" t="s">
        <v>855</v>
      </c>
      <c r="D155" s="100">
        <v>16</v>
      </c>
      <c r="E155" s="100" t="s">
        <v>876</v>
      </c>
      <c r="F155" s="101">
        <v>27</v>
      </c>
      <c r="G155" s="101">
        <v>43200</v>
      </c>
      <c r="H155" s="100" t="s">
        <v>874</v>
      </c>
      <c r="I155" s="101">
        <v>43</v>
      </c>
      <c r="J155" s="101">
        <v>68810.720000000001</v>
      </c>
      <c r="K155" s="100" t="s">
        <v>623</v>
      </c>
      <c r="L155" s="100">
        <v>-25621.439999999999</v>
      </c>
      <c r="M155" s="102">
        <v>-5.6599999999999998E-2</v>
      </c>
      <c r="N155" s="100"/>
      <c r="O155" s="101">
        <f t="shared" si="13"/>
        <v>-25610.720000000001</v>
      </c>
      <c r="P155" s="101">
        <f t="shared" si="14"/>
        <v>43189.279999999999</v>
      </c>
      <c r="Q155" s="101">
        <f t="shared" si="18"/>
        <v>68810.720000000001</v>
      </c>
      <c r="R155" s="101">
        <f t="shared" si="15"/>
        <v>-25621.440000000002</v>
      </c>
      <c r="S155" s="101">
        <f t="shared" si="16"/>
        <v>0</v>
      </c>
      <c r="T155" s="103">
        <f t="shared" si="17"/>
        <v>0</v>
      </c>
    </row>
    <row r="156" spans="2:20" x14ac:dyDescent="0.25">
      <c r="B156" s="99">
        <v>152</v>
      </c>
      <c r="C156" s="100" t="s">
        <v>855</v>
      </c>
      <c r="D156" s="100">
        <v>15</v>
      </c>
      <c r="E156" s="100" t="s">
        <v>877</v>
      </c>
      <c r="F156" s="101">
        <v>28.2</v>
      </c>
      <c r="G156" s="101">
        <v>42300</v>
      </c>
      <c r="H156" s="100" t="s">
        <v>874</v>
      </c>
      <c r="I156" s="101">
        <v>48.5</v>
      </c>
      <c r="J156" s="101">
        <v>72760.05</v>
      </c>
      <c r="K156" s="100" t="s">
        <v>623</v>
      </c>
      <c r="L156" s="100">
        <v>-30470.1</v>
      </c>
      <c r="M156" s="102">
        <v>-6.9599999999999995E-2</v>
      </c>
      <c r="N156" s="100"/>
      <c r="O156" s="101">
        <f t="shared" si="13"/>
        <v>-30460.050000000003</v>
      </c>
      <c r="P156" s="101">
        <f t="shared" si="14"/>
        <v>42289.95</v>
      </c>
      <c r="Q156" s="101">
        <f t="shared" si="18"/>
        <v>72760.05</v>
      </c>
      <c r="R156" s="101">
        <f t="shared" si="15"/>
        <v>-30470.100000000006</v>
      </c>
      <c r="S156" s="101">
        <f t="shared" si="16"/>
        <v>0</v>
      </c>
      <c r="T156" s="103">
        <f t="shared" si="17"/>
        <v>0</v>
      </c>
    </row>
    <row r="157" spans="2:20" x14ac:dyDescent="0.25">
      <c r="B157" s="99">
        <v>153</v>
      </c>
      <c r="C157" s="100" t="s">
        <v>669</v>
      </c>
      <c r="D157" s="100">
        <v>30</v>
      </c>
      <c r="E157" s="100" t="s">
        <v>878</v>
      </c>
      <c r="F157" s="101">
        <v>14.45</v>
      </c>
      <c r="G157" s="101">
        <v>43350</v>
      </c>
      <c r="H157" s="100" t="s">
        <v>879</v>
      </c>
      <c r="I157" s="101">
        <v>25.5</v>
      </c>
      <c r="J157" s="101">
        <v>76520.100000000006</v>
      </c>
      <c r="K157" s="100" t="s">
        <v>623</v>
      </c>
      <c r="L157" s="100">
        <v>-33190.199999999997</v>
      </c>
      <c r="M157" s="102">
        <v>-8.4699999999999998E-2</v>
      </c>
      <c r="N157" s="100"/>
      <c r="O157" s="101">
        <f t="shared" si="13"/>
        <v>-33170.100000000006</v>
      </c>
      <c r="P157" s="101">
        <f t="shared" si="14"/>
        <v>43329.9</v>
      </c>
      <c r="Q157" s="101">
        <f t="shared" si="18"/>
        <v>76520.100000000006</v>
      </c>
      <c r="R157" s="101">
        <f t="shared" si="15"/>
        <v>-33190.200000000004</v>
      </c>
      <c r="S157" s="101">
        <f t="shared" si="16"/>
        <v>0</v>
      </c>
      <c r="T157" s="103">
        <f t="shared" si="17"/>
        <v>0</v>
      </c>
    </row>
    <row r="158" spans="2:20" x14ac:dyDescent="0.25">
      <c r="B158" s="99">
        <v>154</v>
      </c>
      <c r="C158" s="100" t="s">
        <v>529</v>
      </c>
      <c r="D158" s="100">
        <v>43</v>
      </c>
      <c r="E158" s="100" t="s">
        <v>884</v>
      </c>
      <c r="F158" s="101">
        <v>9.8000000000000007</v>
      </c>
      <c r="G158" s="101">
        <v>42140</v>
      </c>
      <c r="H158" s="100" t="s">
        <v>885</v>
      </c>
      <c r="I158" s="101">
        <v>16</v>
      </c>
      <c r="J158" s="101">
        <v>68828.81</v>
      </c>
      <c r="K158" s="100" t="s">
        <v>623</v>
      </c>
      <c r="L158" s="100">
        <v>-26717.62</v>
      </c>
      <c r="M158" s="102">
        <v>-6.5299999999999997E-2</v>
      </c>
      <c r="N158" s="100"/>
      <c r="O158" s="101">
        <f t="shared" si="13"/>
        <v>-26688.809999999998</v>
      </c>
      <c r="P158" s="101">
        <f t="shared" si="14"/>
        <v>42111.19</v>
      </c>
      <c r="Q158" s="101">
        <f t="shared" si="18"/>
        <v>68828.81</v>
      </c>
      <c r="R158" s="101">
        <f t="shared" si="15"/>
        <v>-26717.619999999995</v>
      </c>
      <c r="S158" s="101">
        <f t="shared" si="16"/>
        <v>0</v>
      </c>
      <c r="T158" s="103">
        <f t="shared" si="17"/>
        <v>0</v>
      </c>
    </row>
    <row r="159" spans="2:20" x14ac:dyDescent="0.25">
      <c r="B159" s="99">
        <v>155</v>
      </c>
      <c r="C159" s="100" t="s">
        <v>529</v>
      </c>
      <c r="D159" s="100">
        <v>48</v>
      </c>
      <c r="E159" s="100" t="s">
        <v>886</v>
      </c>
      <c r="F159" s="101">
        <v>8.6</v>
      </c>
      <c r="G159" s="101">
        <v>41280</v>
      </c>
      <c r="H159" s="100" t="s">
        <v>885</v>
      </c>
      <c r="I159" s="101">
        <v>13.3</v>
      </c>
      <c r="J159" s="101">
        <v>63872.160000000003</v>
      </c>
      <c r="K159" s="100" t="s">
        <v>623</v>
      </c>
      <c r="L159" s="100">
        <v>-22624.32</v>
      </c>
      <c r="M159" s="102">
        <v>-5.16E-2</v>
      </c>
      <c r="N159" s="100"/>
      <c r="O159" s="101">
        <f t="shared" si="13"/>
        <v>-22592.160000000003</v>
      </c>
      <c r="P159" s="101">
        <f t="shared" si="14"/>
        <v>41247.839999999989</v>
      </c>
      <c r="Q159" s="101">
        <f t="shared" si="18"/>
        <v>63872.160000000011</v>
      </c>
      <c r="R159" s="101">
        <f t="shared" si="15"/>
        <v>-22624.320000000022</v>
      </c>
      <c r="S159" s="101">
        <f t="shared" si="16"/>
        <v>0</v>
      </c>
      <c r="T159" s="103">
        <f t="shared" si="17"/>
        <v>0</v>
      </c>
    </row>
    <row r="160" spans="2:20" x14ac:dyDescent="0.25">
      <c r="B160" s="99">
        <v>156</v>
      </c>
      <c r="C160" s="100" t="s">
        <v>669</v>
      </c>
      <c r="D160" s="100">
        <v>37</v>
      </c>
      <c r="E160" s="100" t="s">
        <v>887</v>
      </c>
      <c r="F160" s="101">
        <v>11.35</v>
      </c>
      <c r="G160" s="101">
        <v>41995</v>
      </c>
      <c r="H160" s="100" t="s">
        <v>885</v>
      </c>
      <c r="I160" s="101">
        <v>17.05</v>
      </c>
      <c r="J160" s="101">
        <v>63109.79</v>
      </c>
      <c r="K160" s="100" t="s">
        <v>623</v>
      </c>
      <c r="L160" s="100">
        <v>-21139.58</v>
      </c>
      <c r="M160" s="102">
        <v>-4.6199999999999998E-2</v>
      </c>
      <c r="N160" s="100"/>
      <c r="O160" s="101">
        <f t="shared" si="13"/>
        <v>-21114.79</v>
      </c>
      <c r="P160" s="101">
        <f t="shared" si="14"/>
        <v>41970.21</v>
      </c>
      <c r="Q160" s="101">
        <f t="shared" si="18"/>
        <v>63109.79</v>
      </c>
      <c r="R160" s="101">
        <f t="shared" si="15"/>
        <v>-21139.58</v>
      </c>
      <c r="S160" s="101">
        <f t="shared" si="16"/>
        <v>0</v>
      </c>
      <c r="T160" s="103">
        <f t="shared" si="17"/>
        <v>0</v>
      </c>
    </row>
    <row r="161" spans="2:20" x14ac:dyDescent="0.25">
      <c r="B161" s="99">
        <v>157</v>
      </c>
      <c r="C161" s="100" t="s">
        <v>524</v>
      </c>
      <c r="D161" s="100">
        <v>76</v>
      </c>
      <c r="E161" s="100" t="s">
        <v>928</v>
      </c>
      <c r="F161" s="101">
        <v>6.4</v>
      </c>
      <c r="G161" s="101">
        <v>48640</v>
      </c>
      <c r="H161" s="100" t="s">
        <v>929</v>
      </c>
      <c r="I161" s="101">
        <v>9.9</v>
      </c>
      <c r="J161" s="101">
        <v>75290.92</v>
      </c>
      <c r="K161" s="100" t="s">
        <v>623</v>
      </c>
      <c r="L161" s="100">
        <v>-26701.84</v>
      </c>
      <c r="M161" s="102">
        <v>-5.5199999999999999E-2</v>
      </c>
      <c r="N161" s="100"/>
      <c r="O161" s="101">
        <f t="shared" si="13"/>
        <v>-26650.92</v>
      </c>
      <c r="P161" s="101">
        <f t="shared" si="14"/>
        <v>48589.08</v>
      </c>
      <c r="Q161" s="101">
        <f t="shared" si="18"/>
        <v>75290.92</v>
      </c>
      <c r="R161" s="101">
        <f t="shared" si="15"/>
        <v>-26701.839999999997</v>
      </c>
      <c r="S161" s="101">
        <f t="shared" si="16"/>
        <v>0</v>
      </c>
      <c r="T161" s="103">
        <f t="shared" si="17"/>
        <v>0</v>
      </c>
    </row>
    <row r="162" spans="2:20" x14ac:dyDescent="0.25">
      <c r="B162" s="99">
        <v>158</v>
      </c>
      <c r="C162" s="100" t="s">
        <v>943</v>
      </c>
      <c r="D162" s="100">
        <v>28</v>
      </c>
      <c r="E162" s="100" t="s">
        <v>944</v>
      </c>
      <c r="F162" s="101">
        <v>16.850000000000001</v>
      </c>
      <c r="G162" s="101">
        <v>47180</v>
      </c>
      <c r="H162" s="100" t="s">
        <v>945</v>
      </c>
      <c r="I162" s="101">
        <v>18.5</v>
      </c>
      <c r="J162" s="101">
        <v>51818.76</v>
      </c>
      <c r="K162" s="100" t="s">
        <v>623</v>
      </c>
      <c r="L162" s="100">
        <v>-4657.5200000000004</v>
      </c>
      <c r="M162" s="102">
        <v>-9.1000000000000004E-3</v>
      </c>
      <c r="N162" s="100"/>
      <c r="O162" s="101">
        <f t="shared" si="13"/>
        <v>-4638.760000000002</v>
      </c>
      <c r="P162" s="101">
        <f t="shared" si="14"/>
        <v>47161.240000000005</v>
      </c>
      <c r="Q162" s="101">
        <f t="shared" si="18"/>
        <v>51818.76</v>
      </c>
      <c r="R162" s="101">
        <f t="shared" si="15"/>
        <v>-4657.5199999999968</v>
      </c>
      <c r="S162" s="101">
        <f t="shared" si="16"/>
        <v>0</v>
      </c>
      <c r="T162" s="103">
        <f t="shared" si="17"/>
        <v>0</v>
      </c>
    </row>
    <row r="163" spans="2:20" x14ac:dyDescent="0.25">
      <c r="B163" s="99">
        <v>159</v>
      </c>
      <c r="C163" s="100" t="s">
        <v>943</v>
      </c>
      <c r="D163" s="100">
        <v>27</v>
      </c>
      <c r="E163" s="100" t="s">
        <v>946</v>
      </c>
      <c r="F163" s="101">
        <v>17.600000000000001</v>
      </c>
      <c r="G163" s="101">
        <v>47520</v>
      </c>
      <c r="H163" s="100" t="s">
        <v>945</v>
      </c>
      <c r="I163" s="101">
        <v>21.6</v>
      </c>
      <c r="J163" s="101">
        <v>58338.09</v>
      </c>
      <c r="K163" s="100" t="s">
        <v>623</v>
      </c>
      <c r="L163" s="100">
        <v>-10836.18</v>
      </c>
      <c r="M163" s="102">
        <v>-2.12E-2</v>
      </c>
      <c r="N163" s="100"/>
      <c r="O163" s="101">
        <f t="shared" si="13"/>
        <v>-10818.089999999997</v>
      </c>
      <c r="P163" s="101">
        <f t="shared" si="14"/>
        <v>47501.910000000011</v>
      </c>
      <c r="Q163" s="101">
        <f t="shared" si="18"/>
        <v>58338.090000000004</v>
      </c>
      <c r="R163" s="101">
        <f t="shared" si="15"/>
        <v>-10836.179999999993</v>
      </c>
      <c r="S163" s="101">
        <f t="shared" si="16"/>
        <v>0</v>
      </c>
      <c r="T163" s="103">
        <f t="shared" si="17"/>
        <v>0</v>
      </c>
    </row>
    <row r="164" spans="2:20" x14ac:dyDescent="0.25">
      <c r="B164" s="99">
        <v>160</v>
      </c>
      <c r="C164" s="100" t="s">
        <v>943</v>
      </c>
      <c r="D164" s="100">
        <v>26</v>
      </c>
      <c r="E164" s="100" t="s">
        <v>947</v>
      </c>
      <c r="F164" s="101">
        <v>18.45</v>
      </c>
      <c r="G164" s="101">
        <v>47970</v>
      </c>
      <c r="H164" s="100" t="s">
        <v>945</v>
      </c>
      <c r="I164" s="101">
        <v>23.25</v>
      </c>
      <c r="J164" s="101">
        <v>60467.42</v>
      </c>
      <c r="K164" s="100" t="s">
        <v>623</v>
      </c>
      <c r="L164" s="100">
        <v>-12514.84</v>
      </c>
      <c r="M164" s="102">
        <v>-2.5100000000000001E-2</v>
      </c>
      <c r="N164" s="100"/>
      <c r="O164" s="101">
        <f t="shared" si="13"/>
        <v>-12497.419999999998</v>
      </c>
      <c r="P164" s="101">
        <f t="shared" si="14"/>
        <v>47952.58</v>
      </c>
      <c r="Q164" s="101">
        <f t="shared" si="18"/>
        <v>60467.42</v>
      </c>
      <c r="R164" s="101">
        <f t="shared" si="15"/>
        <v>-12514.839999999997</v>
      </c>
      <c r="S164" s="101">
        <f t="shared" si="16"/>
        <v>0</v>
      </c>
      <c r="T164" s="103">
        <f t="shared" si="17"/>
        <v>0</v>
      </c>
    </row>
    <row r="165" spans="2:20" x14ac:dyDescent="0.25">
      <c r="B165" s="99">
        <v>161</v>
      </c>
      <c r="C165" s="100" t="s">
        <v>943</v>
      </c>
      <c r="D165" s="100">
        <v>29</v>
      </c>
      <c r="E165" s="100" t="s">
        <v>939</v>
      </c>
      <c r="F165" s="101">
        <v>17.2</v>
      </c>
      <c r="G165" s="101">
        <v>49880</v>
      </c>
      <c r="H165" s="100" t="s">
        <v>945</v>
      </c>
      <c r="I165" s="101">
        <v>22.75</v>
      </c>
      <c r="J165" s="101">
        <v>65994.429999999993</v>
      </c>
      <c r="K165" s="100" t="s">
        <v>623</v>
      </c>
      <c r="L165" s="100">
        <v>-16133.86</v>
      </c>
      <c r="M165" s="102">
        <v>-2.9600000000000001E-2</v>
      </c>
      <c r="N165" s="100"/>
      <c r="O165" s="101">
        <f t="shared" si="13"/>
        <v>-16114.429999999993</v>
      </c>
      <c r="P165" s="101">
        <f t="shared" si="14"/>
        <v>49860.569999999992</v>
      </c>
      <c r="Q165" s="101">
        <f t="shared" si="18"/>
        <v>65994.429999999993</v>
      </c>
      <c r="R165" s="101">
        <f t="shared" si="15"/>
        <v>-16133.86</v>
      </c>
      <c r="S165" s="101">
        <f t="shared" si="16"/>
        <v>0</v>
      </c>
      <c r="T165" s="103">
        <f t="shared" si="17"/>
        <v>0</v>
      </c>
    </row>
    <row r="166" spans="2:20" x14ac:dyDescent="0.25">
      <c r="B166" s="99">
        <v>162</v>
      </c>
      <c r="C166" s="100" t="s">
        <v>943</v>
      </c>
      <c r="D166" s="100">
        <v>25</v>
      </c>
      <c r="E166" s="100" t="s">
        <v>948</v>
      </c>
      <c r="F166" s="101">
        <v>20</v>
      </c>
      <c r="G166" s="101">
        <v>50000</v>
      </c>
      <c r="H166" s="100" t="s">
        <v>945</v>
      </c>
      <c r="I166" s="101">
        <v>28.65</v>
      </c>
      <c r="J166" s="101">
        <v>71641.75</v>
      </c>
      <c r="K166" s="100" t="s">
        <v>623</v>
      </c>
      <c r="L166" s="100">
        <v>-21658.5</v>
      </c>
      <c r="M166" s="102">
        <v>-4.5600000000000002E-2</v>
      </c>
      <c r="N166" s="100"/>
      <c r="O166" s="101">
        <f t="shared" si="13"/>
        <v>-21641.75</v>
      </c>
      <c r="P166" s="101">
        <f t="shared" si="14"/>
        <v>49983.25</v>
      </c>
      <c r="Q166" s="101">
        <f t="shared" si="18"/>
        <v>71641.75</v>
      </c>
      <c r="R166" s="101">
        <f t="shared" si="15"/>
        <v>-21658.5</v>
      </c>
      <c r="S166" s="101">
        <f t="shared" si="16"/>
        <v>0</v>
      </c>
      <c r="T166" s="103">
        <f t="shared" si="17"/>
        <v>0</v>
      </c>
    </row>
    <row r="167" spans="2:20" x14ac:dyDescent="0.25">
      <c r="B167" s="99">
        <v>163</v>
      </c>
      <c r="C167" s="100" t="s">
        <v>943</v>
      </c>
      <c r="D167" s="100">
        <v>24</v>
      </c>
      <c r="E167" s="100" t="s">
        <v>949</v>
      </c>
      <c r="F167" s="101">
        <v>20.55</v>
      </c>
      <c r="G167" s="101">
        <v>49320</v>
      </c>
      <c r="H167" s="100" t="s">
        <v>945</v>
      </c>
      <c r="I167" s="101">
        <v>31.25</v>
      </c>
      <c r="J167" s="101">
        <v>75016.08</v>
      </c>
      <c r="K167" s="100" t="s">
        <v>623</v>
      </c>
      <c r="L167" s="100">
        <v>-25712.16</v>
      </c>
      <c r="M167" s="102">
        <v>-5.5100000000000003E-2</v>
      </c>
      <c r="N167" s="100"/>
      <c r="O167" s="101">
        <f t="shared" si="13"/>
        <v>-25696.080000000002</v>
      </c>
      <c r="P167" s="101">
        <f t="shared" si="14"/>
        <v>49303.920000000006</v>
      </c>
      <c r="Q167" s="101">
        <f t="shared" si="18"/>
        <v>75016.08</v>
      </c>
      <c r="R167" s="101">
        <f t="shared" si="15"/>
        <v>-25712.159999999996</v>
      </c>
      <c r="S167" s="101">
        <f t="shared" si="16"/>
        <v>0</v>
      </c>
      <c r="T167" s="103">
        <f t="shared" si="17"/>
        <v>0</v>
      </c>
    </row>
    <row r="168" spans="2:20" x14ac:dyDescent="0.25">
      <c r="B168" s="99">
        <v>164</v>
      </c>
      <c r="C168" s="100" t="s">
        <v>943</v>
      </c>
      <c r="D168" s="100">
        <v>28</v>
      </c>
      <c r="E168" s="100" t="s">
        <v>950</v>
      </c>
      <c r="F168" s="101">
        <v>17.5</v>
      </c>
      <c r="G168" s="101">
        <v>49000</v>
      </c>
      <c r="H168" s="100" t="s">
        <v>945</v>
      </c>
      <c r="I168" s="101">
        <v>26.1</v>
      </c>
      <c r="J168" s="101">
        <v>73098.759999999995</v>
      </c>
      <c r="K168" s="100" t="s">
        <v>623</v>
      </c>
      <c r="L168" s="100">
        <v>-24117.52</v>
      </c>
      <c r="M168" s="102">
        <v>-4.5900000000000003E-2</v>
      </c>
      <c r="N168" s="100"/>
      <c r="O168" s="101">
        <f t="shared" si="13"/>
        <v>-24098.759999999995</v>
      </c>
      <c r="P168" s="101">
        <f t="shared" si="14"/>
        <v>48981.24</v>
      </c>
      <c r="Q168" s="101">
        <f t="shared" si="18"/>
        <v>73098.759999999995</v>
      </c>
      <c r="R168" s="101">
        <f t="shared" si="15"/>
        <v>-24117.519999999997</v>
      </c>
      <c r="S168" s="101">
        <f t="shared" si="16"/>
        <v>0</v>
      </c>
      <c r="T168" s="103">
        <f t="shared" si="17"/>
        <v>0</v>
      </c>
    </row>
    <row r="169" spans="2:20" x14ac:dyDescent="0.25">
      <c r="B169" s="99">
        <v>165</v>
      </c>
      <c r="C169" s="100" t="s">
        <v>396</v>
      </c>
      <c r="D169" s="100">
        <v>42</v>
      </c>
      <c r="E169" s="100" t="s">
        <v>985</v>
      </c>
      <c r="F169" s="101">
        <v>11.9</v>
      </c>
      <c r="G169" s="101">
        <v>49980</v>
      </c>
      <c r="H169" s="100" t="s">
        <v>986</v>
      </c>
      <c r="I169" s="101">
        <v>19.100000000000001</v>
      </c>
      <c r="J169" s="101">
        <v>80248.14</v>
      </c>
      <c r="K169" s="100" t="s">
        <v>623</v>
      </c>
      <c r="L169" s="100">
        <v>-30296.28</v>
      </c>
      <c r="M169" s="102">
        <v>-5.6300000000000003E-2</v>
      </c>
      <c r="N169" s="100"/>
      <c r="O169" s="101">
        <f t="shared" si="13"/>
        <v>-30268.14</v>
      </c>
      <c r="P169" s="101">
        <f t="shared" si="14"/>
        <v>49951.86</v>
      </c>
      <c r="Q169" s="101">
        <f t="shared" si="18"/>
        <v>80248.14</v>
      </c>
      <c r="R169" s="101">
        <f t="shared" si="15"/>
        <v>-30296.28</v>
      </c>
      <c r="S169" s="101">
        <f t="shared" si="16"/>
        <v>0</v>
      </c>
      <c r="T169" s="103">
        <f t="shared" si="17"/>
        <v>0</v>
      </c>
    </row>
    <row r="170" spans="2:20" x14ac:dyDescent="0.25">
      <c r="B170" s="99">
        <v>166</v>
      </c>
      <c r="C170" s="100" t="s">
        <v>669</v>
      </c>
      <c r="D170" s="100">
        <v>45</v>
      </c>
      <c r="E170" s="100" t="s">
        <v>988</v>
      </c>
      <c r="F170" s="101">
        <v>10.9</v>
      </c>
      <c r="G170" s="101">
        <v>49050</v>
      </c>
      <c r="H170" s="100" t="s">
        <v>989</v>
      </c>
      <c r="I170" s="101">
        <v>19.399999999999999</v>
      </c>
      <c r="J170" s="101">
        <v>87330.15</v>
      </c>
      <c r="K170" s="100" t="s">
        <v>623</v>
      </c>
      <c r="L170" s="100">
        <v>-38310.300000000003</v>
      </c>
      <c r="M170" s="102">
        <v>-9.5500000000000002E-2</v>
      </c>
      <c r="N170" s="100"/>
      <c r="O170" s="101">
        <f t="shared" si="13"/>
        <v>-38280.149999999994</v>
      </c>
      <c r="P170" s="101">
        <f t="shared" si="14"/>
        <v>49019.85</v>
      </c>
      <c r="Q170" s="101">
        <f t="shared" si="18"/>
        <v>87330.14999999998</v>
      </c>
      <c r="R170" s="101">
        <f t="shared" si="15"/>
        <v>-38310.299999999981</v>
      </c>
      <c r="S170" s="101">
        <f t="shared" si="16"/>
        <v>0</v>
      </c>
      <c r="T170" s="103">
        <f t="shared" si="17"/>
        <v>0</v>
      </c>
    </row>
    <row r="171" spans="2:20" x14ac:dyDescent="0.25">
      <c r="B171" s="99">
        <v>167</v>
      </c>
      <c r="C171" s="100" t="s">
        <v>669</v>
      </c>
      <c r="D171" s="100">
        <v>50</v>
      </c>
      <c r="E171" s="100" t="s">
        <v>990</v>
      </c>
      <c r="F171" s="101">
        <v>9.8000000000000007</v>
      </c>
      <c r="G171" s="101">
        <v>49000</v>
      </c>
      <c r="H171" s="100" t="s">
        <v>989</v>
      </c>
      <c r="I171" s="101">
        <v>16.8</v>
      </c>
      <c r="J171" s="101">
        <v>84033.5</v>
      </c>
      <c r="K171" s="100" t="s">
        <v>623</v>
      </c>
      <c r="L171" s="100">
        <v>-35067</v>
      </c>
      <c r="M171" s="102">
        <v>-8.2299999999999998E-2</v>
      </c>
      <c r="N171" s="100"/>
      <c r="O171" s="101">
        <f t="shared" si="13"/>
        <v>-35033.5</v>
      </c>
      <c r="P171" s="101">
        <f t="shared" si="14"/>
        <v>48966.500000000007</v>
      </c>
      <c r="Q171" s="101">
        <f t="shared" si="18"/>
        <v>84033.5</v>
      </c>
      <c r="R171" s="101">
        <f t="shared" si="15"/>
        <v>-35066.999999999993</v>
      </c>
      <c r="S171" s="101">
        <f t="shared" si="16"/>
        <v>0</v>
      </c>
      <c r="T171" s="103">
        <f t="shared" si="17"/>
        <v>0</v>
      </c>
    </row>
    <row r="172" spans="2:20" x14ac:dyDescent="0.25">
      <c r="B172" s="99">
        <v>168</v>
      </c>
      <c r="C172" s="100" t="s">
        <v>669</v>
      </c>
      <c r="D172" s="100">
        <v>59</v>
      </c>
      <c r="E172" s="100" t="s">
        <v>984</v>
      </c>
      <c r="F172" s="101">
        <v>8.3000000000000007</v>
      </c>
      <c r="G172" s="101">
        <v>48970</v>
      </c>
      <c r="H172" s="100" t="s">
        <v>989</v>
      </c>
      <c r="I172" s="101">
        <v>13.85</v>
      </c>
      <c r="J172" s="101">
        <v>81754.53</v>
      </c>
      <c r="K172" s="100" t="s">
        <v>623</v>
      </c>
      <c r="L172" s="100">
        <v>-32824.06</v>
      </c>
      <c r="M172" s="102">
        <v>-6.8099999999999994E-2</v>
      </c>
      <c r="N172" s="100"/>
      <c r="O172" s="101">
        <f t="shared" si="13"/>
        <v>-32784.53</v>
      </c>
      <c r="P172" s="101">
        <f t="shared" si="14"/>
        <v>48930.470000000008</v>
      </c>
      <c r="Q172" s="101">
        <f t="shared" si="18"/>
        <v>81754.53</v>
      </c>
      <c r="R172" s="101">
        <f t="shared" si="15"/>
        <v>-32824.05999999999</v>
      </c>
      <c r="S172" s="101">
        <f t="shared" si="16"/>
        <v>0</v>
      </c>
      <c r="T172" s="103">
        <f t="shared" si="17"/>
        <v>0</v>
      </c>
    </row>
    <row r="173" spans="2:20" x14ac:dyDescent="0.25">
      <c r="B173" s="99">
        <v>169</v>
      </c>
      <c r="C173" s="100" t="s">
        <v>669</v>
      </c>
      <c r="D173" s="100">
        <v>58</v>
      </c>
      <c r="E173" s="100" t="s">
        <v>991</v>
      </c>
      <c r="F173" s="101">
        <v>8.5</v>
      </c>
      <c r="G173" s="101">
        <v>49300</v>
      </c>
      <c r="H173" s="100" t="s">
        <v>989</v>
      </c>
      <c r="I173" s="101">
        <v>17.45</v>
      </c>
      <c r="J173" s="101">
        <v>101248.86</v>
      </c>
      <c r="K173" s="100" t="s">
        <v>623</v>
      </c>
      <c r="L173" s="100">
        <v>-51987.72</v>
      </c>
      <c r="M173" s="102">
        <v>-9.8000000000000004E-2</v>
      </c>
      <c r="N173" s="100"/>
      <c r="O173" s="101">
        <f t="shared" si="13"/>
        <v>-51948.86</v>
      </c>
      <c r="P173" s="101">
        <f t="shared" si="14"/>
        <v>49261.14</v>
      </c>
      <c r="Q173" s="101">
        <f t="shared" si="18"/>
        <v>101248.85999999999</v>
      </c>
      <c r="R173" s="101">
        <f t="shared" si="15"/>
        <v>-51987.719999999987</v>
      </c>
      <c r="S173" s="101">
        <f t="shared" si="16"/>
        <v>0</v>
      </c>
      <c r="T173" s="103">
        <f t="shared" si="17"/>
        <v>0</v>
      </c>
    </row>
    <row r="174" spans="2:20" x14ac:dyDescent="0.25">
      <c r="B174" s="99">
        <v>170</v>
      </c>
      <c r="C174" s="100" t="s">
        <v>581</v>
      </c>
      <c r="D174" s="100">
        <v>70</v>
      </c>
      <c r="E174" s="100" t="s">
        <v>992</v>
      </c>
      <c r="F174" s="101">
        <v>6.75</v>
      </c>
      <c r="G174" s="101">
        <v>47250</v>
      </c>
      <c r="H174" s="100" t="s">
        <v>989</v>
      </c>
      <c r="I174" s="101">
        <v>10.9</v>
      </c>
      <c r="J174" s="101">
        <v>76346.899999999994</v>
      </c>
      <c r="K174" s="100" t="s">
        <v>623</v>
      </c>
      <c r="L174" s="100">
        <v>-29143.8</v>
      </c>
      <c r="M174" s="102">
        <v>-0.1474</v>
      </c>
      <c r="N174" s="100"/>
      <c r="O174" s="101">
        <f t="shared" si="13"/>
        <v>-29096.899999999994</v>
      </c>
      <c r="P174" s="101">
        <f t="shared" si="14"/>
        <v>47203.1</v>
      </c>
      <c r="Q174" s="101">
        <f t="shared" si="18"/>
        <v>76346.899999999994</v>
      </c>
      <c r="R174" s="101">
        <f t="shared" si="15"/>
        <v>-29143.799999999996</v>
      </c>
      <c r="S174" s="101">
        <f t="shared" si="16"/>
        <v>0</v>
      </c>
      <c r="T174" s="103">
        <f t="shared" si="17"/>
        <v>0</v>
      </c>
    </row>
    <row r="175" spans="2:20" x14ac:dyDescent="0.25">
      <c r="B175" s="99">
        <v>171</v>
      </c>
      <c r="C175" s="100" t="s">
        <v>918</v>
      </c>
      <c r="D175" s="100">
        <v>31</v>
      </c>
      <c r="E175" s="100" t="s">
        <v>1035</v>
      </c>
      <c r="F175" s="101">
        <v>15.9</v>
      </c>
      <c r="G175" s="101">
        <v>49290</v>
      </c>
      <c r="H175" s="100" t="s">
        <v>1036</v>
      </c>
      <c r="I175" s="101">
        <v>29.8</v>
      </c>
      <c r="J175" s="101">
        <v>92400.77</v>
      </c>
      <c r="K175" s="100" t="s">
        <v>623</v>
      </c>
      <c r="L175" s="100">
        <v>-43131.54</v>
      </c>
      <c r="M175" s="102">
        <v>-7.9899999999999999E-2</v>
      </c>
      <c r="N175" s="100"/>
      <c r="O175" s="101">
        <f t="shared" si="13"/>
        <v>-43110.770000000004</v>
      </c>
      <c r="P175" s="101">
        <f t="shared" si="14"/>
        <v>49269.23</v>
      </c>
      <c r="Q175" s="101">
        <f t="shared" si="18"/>
        <v>92400.77</v>
      </c>
      <c r="R175" s="101">
        <f t="shared" si="15"/>
        <v>-43131.54</v>
      </c>
      <c r="S175" s="101">
        <f t="shared" si="16"/>
        <v>0</v>
      </c>
      <c r="T175" s="103">
        <f t="shared" si="17"/>
        <v>0</v>
      </c>
    </row>
    <row r="176" spans="2:20" x14ac:dyDescent="0.25">
      <c r="B176" s="99">
        <v>172</v>
      </c>
      <c r="C176" s="100" t="s">
        <v>918</v>
      </c>
      <c r="D176" s="100">
        <v>26</v>
      </c>
      <c r="E176" s="100" t="s">
        <v>1037</v>
      </c>
      <c r="F176" s="101">
        <v>18.25</v>
      </c>
      <c r="G176" s="101">
        <v>47450</v>
      </c>
      <c r="H176" s="100" t="s">
        <v>1036</v>
      </c>
      <c r="I176" s="101">
        <v>32.700000000000003</v>
      </c>
      <c r="J176" s="101">
        <v>85037.42</v>
      </c>
      <c r="K176" s="100" t="s">
        <v>623</v>
      </c>
      <c r="L176" s="100">
        <v>-37604.839999999997</v>
      </c>
      <c r="M176" s="102">
        <v>-8.1799999999999998E-2</v>
      </c>
      <c r="N176" s="100"/>
      <c r="O176" s="101">
        <f t="shared" si="13"/>
        <v>-37587.42</v>
      </c>
      <c r="P176" s="101">
        <f t="shared" si="14"/>
        <v>47432.58</v>
      </c>
      <c r="Q176" s="101">
        <f t="shared" si="18"/>
        <v>85037.42</v>
      </c>
      <c r="R176" s="101">
        <f t="shared" si="15"/>
        <v>-37604.839999999997</v>
      </c>
      <c r="S176" s="101">
        <f t="shared" si="16"/>
        <v>0</v>
      </c>
      <c r="T176" s="103">
        <f t="shared" si="17"/>
        <v>0</v>
      </c>
    </row>
    <row r="177" spans="2:20" x14ac:dyDescent="0.25">
      <c r="B177" s="99">
        <v>173</v>
      </c>
      <c r="C177" s="100" t="s">
        <v>918</v>
      </c>
      <c r="D177" s="100">
        <v>30</v>
      </c>
      <c r="E177" s="100" t="s">
        <v>1038</v>
      </c>
      <c r="F177" s="101">
        <v>15.9</v>
      </c>
      <c r="G177" s="101">
        <v>47700</v>
      </c>
      <c r="H177" s="100" t="s">
        <v>1036</v>
      </c>
      <c r="I177" s="101">
        <v>26.85</v>
      </c>
      <c r="J177" s="101">
        <v>80570.100000000006</v>
      </c>
      <c r="K177" s="100" t="s">
        <v>623</v>
      </c>
      <c r="L177" s="100">
        <v>-32890.199999999997</v>
      </c>
      <c r="M177" s="102">
        <v>-6.4799999999999996E-2</v>
      </c>
      <c r="N177" s="100"/>
      <c r="O177" s="101">
        <f t="shared" si="13"/>
        <v>-32870.100000000006</v>
      </c>
      <c r="P177" s="101">
        <f t="shared" si="14"/>
        <v>47679.9</v>
      </c>
      <c r="Q177" s="101">
        <f t="shared" si="18"/>
        <v>80570.100000000006</v>
      </c>
      <c r="R177" s="101">
        <f t="shared" si="15"/>
        <v>-32890.200000000004</v>
      </c>
      <c r="S177" s="101">
        <f t="shared" si="16"/>
        <v>0</v>
      </c>
      <c r="T177" s="103">
        <f t="shared" si="17"/>
        <v>0</v>
      </c>
    </row>
    <row r="178" spans="2:20" x14ac:dyDescent="0.25">
      <c r="B178" s="99">
        <v>174</v>
      </c>
      <c r="C178" s="100" t="s">
        <v>918</v>
      </c>
      <c r="D178" s="100">
        <v>32</v>
      </c>
      <c r="E178" s="100" t="s">
        <v>1039</v>
      </c>
      <c r="F178" s="101">
        <v>15.4</v>
      </c>
      <c r="G178" s="101">
        <v>49280</v>
      </c>
      <c r="H178" s="100" t="s">
        <v>1036</v>
      </c>
      <c r="I178" s="101">
        <v>24.45</v>
      </c>
      <c r="J178" s="101">
        <v>78261.440000000002</v>
      </c>
      <c r="K178" s="100" t="s">
        <v>623</v>
      </c>
      <c r="L178" s="100">
        <v>-29002.880000000001</v>
      </c>
      <c r="M178" s="102">
        <v>-5.5100000000000003E-2</v>
      </c>
      <c r="N178" s="100"/>
      <c r="O178" s="101">
        <f t="shared" si="13"/>
        <v>-28981.440000000002</v>
      </c>
      <c r="P178" s="101">
        <f t="shared" si="14"/>
        <v>49258.559999999998</v>
      </c>
      <c r="Q178" s="101">
        <f t="shared" si="18"/>
        <v>78261.440000000002</v>
      </c>
      <c r="R178" s="101">
        <f t="shared" si="15"/>
        <v>-29002.880000000005</v>
      </c>
      <c r="S178" s="101">
        <f t="shared" si="16"/>
        <v>0</v>
      </c>
      <c r="T178" s="103">
        <f t="shared" si="17"/>
        <v>0</v>
      </c>
    </row>
    <row r="179" spans="2:20" x14ac:dyDescent="0.25">
      <c r="B179" s="99">
        <v>175</v>
      </c>
      <c r="C179" s="100" t="s">
        <v>1044</v>
      </c>
      <c r="D179" s="100">
        <v>53</v>
      </c>
      <c r="E179" s="100" t="s">
        <v>1045</v>
      </c>
      <c r="F179" s="101">
        <v>9.25</v>
      </c>
      <c r="G179" s="101">
        <v>49025</v>
      </c>
      <c r="H179" s="100" t="s">
        <v>1046</v>
      </c>
      <c r="I179" s="101">
        <v>15.95</v>
      </c>
      <c r="J179" s="101">
        <v>84570.51</v>
      </c>
      <c r="K179" s="100" t="s">
        <v>623</v>
      </c>
      <c r="L179" s="100">
        <v>-35581.019999999997</v>
      </c>
      <c r="M179" s="102">
        <v>-6.6600000000000006E-2</v>
      </c>
      <c r="N179" s="100"/>
      <c r="O179" s="101">
        <f t="shared" si="13"/>
        <v>-35545.509999999995</v>
      </c>
      <c r="P179" s="101">
        <f t="shared" si="14"/>
        <v>48989.49</v>
      </c>
      <c r="Q179" s="101">
        <f t="shared" si="18"/>
        <v>84570.50999999998</v>
      </c>
      <c r="R179" s="101">
        <f t="shared" si="15"/>
        <v>-35581.019999999982</v>
      </c>
      <c r="S179" s="101">
        <f t="shared" si="16"/>
        <v>0</v>
      </c>
      <c r="T179" s="103">
        <f t="shared" si="17"/>
        <v>0</v>
      </c>
    </row>
    <row r="180" spans="2:20" x14ac:dyDescent="0.25">
      <c r="B180" s="99">
        <v>176</v>
      </c>
      <c r="C180" s="100" t="s">
        <v>996</v>
      </c>
      <c r="D180" s="100">
        <v>46</v>
      </c>
      <c r="E180" s="100" t="s">
        <v>1055</v>
      </c>
      <c r="F180" s="101">
        <v>11.05</v>
      </c>
      <c r="G180" s="101">
        <v>50830</v>
      </c>
      <c r="H180" s="100" t="s">
        <v>1056</v>
      </c>
      <c r="I180" s="101">
        <v>16.55</v>
      </c>
      <c r="J180" s="101">
        <v>76160.820000000007</v>
      </c>
      <c r="K180" s="100" t="s">
        <v>623</v>
      </c>
      <c r="L180" s="100">
        <v>-25361.64</v>
      </c>
      <c r="M180" s="102">
        <v>-5.57E-2</v>
      </c>
      <c r="N180" s="100"/>
      <c r="O180" s="101">
        <f t="shared" si="13"/>
        <v>-25330.820000000007</v>
      </c>
      <c r="P180" s="101">
        <f t="shared" si="14"/>
        <v>50799.18</v>
      </c>
      <c r="Q180" s="101">
        <f t="shared" si="18"/>
        <v>76160.820000000007</v>
      </c>
      <c r="R180" s="101">
        <f t="shared" si="15"/>
        <v>-25361.640000000007</v>
      </c>
      <c r="S180" s="101">
        <f t="shared" si="16"/>
        <v>0</v>
      </c>
      <c r="T180" s="103">
        <f t="shared" si="17"/>
        <v>0</v>
      </c>
    </row>
    <row r="181" spans="2:20" x14ac:dyDescent="0.25">
      <c r="B181" s="99">
        <v>177</v>
      </c>
      <c r="C181" s="100" t="s">
        <v>996</v>
      </c>
      <c r="D181" s="100">
        <v>48</v>
      </c>
      <c r="E181" s="100" t="s">
        <v>1057</v>
      </c>
      <c r="F181" s="101">
        <v>10.7</v>
      </c>
      <c r="G181" s="101">
        <v>51360</v>
      </c>
      <c r="H181" s="100" t="s">
        <v>1056</v>
      </c>
      <c r="I181" s="101">
        <v>17.7</v>
      </c>
      <c r="J181" s="101">
        <v>84992.16</v>
      </c>
      <c r="K181" s="100" t="s">
        <v>623</v>
      </c>
      <c r="L181" s="100">
        <v>-33664.32</v>
      </c>
      <c r="M181" s="102">
        <v>-6.9199999999999998E-2</v>
      </c>
      <c r="N181" s="100"/>
      <c r="O181" s="101">
        <f t="shared" si="13"/>
        <v>-33632.160000000003</v>
      </c>
      <c r="P181" s="101">
        <f t="shared" si="14"/>
        <v>51327.839999999989</v>
      </c>
      <c r="Q181" s="101">
        <f t="shared" si="18"/>
        <v>84992.159999999989</v>
      </c>
      <c r="R181" s="101">
        <f t="shared" si="15"/>
        <v>-33664.32</v>
      </c>
      <c r="S181" s="101">
        <f t="shared" si="16"/>
        <v>0</v>
      </c>
      <c r="T181" s="103">
        <f t="shared" si="17"/>
        <v>0</v>
      </c>
    </row>
    <row r="182" spans="2:20" x14ac:dyDescent="0.25">
      <c r="B182" s="99">
        <v>178</v>
      </c>
      <c r="C182" s="100" t="s">
        <v>996</v>
      </c>
      <c r="D182" s="100">
        <v>49</v>
      </c>
      <c r="E182" s="100" t="s">
        <v>1058</v>
      </c>
      <c r="F182" s="101">
        <v>10.65</v>
      </c>
      <c r="G182" s="101">
        <v>52185</v>
      </c>
      <c r="H182" s="100" t="s">
        <v>1056</v>
      </c>
      <c r="I182" s="101">
        <v>20.100000000000001</v>
      </c>
      <c r="J182" s="101">
        <v>98522.83</v>
      </c>
      <c r="K182" s="100" t="s">
        <v>623</v>
      </c>
      <c r="L182" s="100">
        <v>-46370.66</v>
      </c>
      <c r="M182" s="102">
        <v>-8.9800000000000005E-2</v>
      </c>
      <c r="N182" s="100"/>
      <c r="O182" s="101">
        <f t="shared" si="13"/>
        <v>-46337.83</v>
      </c>
      <c r="P182" s="101">
        <f t="shared" si="14"/>
        <v>52152.17</v>
      </c>
      <c r="Q182" s="101">
        <f t="shared" si="18"/>
        <v>98522.830000000016</v>
      </c>
      <c r="R182" s="101">
        <f t="shared" si="15"/>
        <v>-46370.660000000018</v>
      </c>
      <c r="S182" s="101">
        <f t="shared" si="16"/>
        <v>0</v>
      </c>
      <c r="T182" s="103">
        <f t="shared" si="17"/>
        <v>0</v>
      </c>
    </row>
    <row r="183" spans="2:20" x14ac:dyDescent="0.25">
      <c r="B183" s="99">
        <v>179</v>
      </c>
      <c r="C183" s="100" t="s">
        <v>996</v>
      </c>
      <c r="D183" s="100">
        <v>54</v>
      </c>
      <c r="E183" s="100" t="s">
        <v>1059</v>
      </c>
      <c r="F183" s="101">
        <v>9.8000000000000007</v>
      </c>
      <c r="G183" s="101">
        <v>52920</v>
      </c>
      <c r="H183" s="100" t="s">
        <v>1056</v>
      </c>
      <c r="I183" s="101">
        <v>19.45</v>
      </c>
      <c r="J183" s="101">
        <v>105066.18</v>
      </c>
      <c r="K183" s="100" t="s">
        <v>623</v>
      </c>
      <c r="L183" s="100">
        <v>-52182.36</v>
      </c>
      <c r="M183" s="102">
        <v>-9.1899999999999996E-2</v>
      </c>
      <c r="N183" s="100"/>
      <c r="O183" s="101">
        <f t="shared" si="13"/>
        <v>-52146.179999999993</v>
      </c>
      <c r="P183" s="101">
        <f t="shared" si="14"/>
        <v>52883.820000000007</v>
      </c>
      <c r="Q183" s="101">
        <f t="shared" si="18"/>
        <v>105066.18</v>
      </c>
      <c r="R183" s="101">
        <f t="shared" si="15"/>
        <v>-52182.359999999986</v>
      </c>
      <c r="S183" s="101">
        <f t="shared" si="16"/>
        <v>0</v>
      </c>
      <c r="T183" s="103">
        <f t="shared" si="17"/>
        <v>0</v>
      </c>
    </row>
    <row r="184" spans="2:20" x14ac:dyDescent="0.25">
      <c r="B184" s="99">
        <v>180</v>
      </c>
      <c r="C184" s="100" t="s">
        <v>996</v>
      </c>
      <c r="D184" s="100">
        <v>49</v>
      </c>
      <c r="E184" s="100" t="s">
        <v>1060</v>
      </c>
      <c r="F184" s="101">
        <v>10.5</v>
      </c>
      <c r="G184" s="101">
        <v>51450</v>
      </c>
      <c r="H184" s="100" t="s">
        <v>1056</v>
      </c>
      <c r="I184" s="101">
        <v>18.899999999999999</v>
      </c>
      <c r="J184" s="101">
        <v>92642.83</v>
      </c>
      <c r="K184" s="100" t="s">
        <v>623</v>
      </c>
      <c r="L184" s="100">
        <v>-41225.660000000003</v>
      </c>
      <c r="M184" s="102">
        <v>-8.1299999999999997E-2</v>
      </c>
      <c r="N184" s="100"/>
      <c r="O184" s="101">
        <f t="shared" si="13"/>
        <v>-41192.83</v>
      </c>
      <c r="P184" s="101">
        <f t="shared" si="14"/>
        <v>51417.17</v>
      </c>
      <c r="Q184" s="101">
        <f t="shared" si="18"/>
        <v>92642.829999999987</v>
      </c>
      <c r="R184" s="101">
        <f t="shared" si="15"/>
        <v>-41225.659999999989</v>
      </c>
      <c r="S184" s="101">
        <f t="shared" si="16"/>
        <v>0</v>
      </c>
      <c r="T184" s="103">
        <f t="shared" si="17"/>
        <v>0</v>
      </c>
    </row>
    <row r="185" spans="2:20" x14ac:dyDescent="0.25">
      <c r="B185" s="99">
        <v>181</v>
      </c>
      <c r="C185" s="100" t="s">
        <v>996</v>
      </c>
      <c r="D185" s="100">
        <v>53</v>
      </c>
      <c r="E185" s="100" t="s">
        <v>1061</v>
      </c>
      <c r="F185" s="101">
        <v>9.75</v>
      </c>
      <c r="G185" s="101">
        <v>51675</v>
      </c>
      <c r="H185" s="100" t="s">
        <v>1056</v>
      </c>
      <c r="I185" s="101">
        <v>18</v>
      </c>
      <c r="J185" s="101">
        <v>95435.51</v>
      </c>
      <c r="K185" s="100" t="s">
        <v>623</v>
      </c>
      <c r="L185" s="100">
        <v>-43796.02</v>
      </c>
      <c r="M185" s="102">
        <v>-7.85E-2</v>
      </c>
      <c r="N185" s="100"/>
      <c r="O185" s="101">
        <f t="shared" si="13"/>
        <v>-43760.509999999995</v>
      </c>
      <c r="P185" s="101">
        <f t="shared" si="14"/>
        <v>51639.49</v>
      </c>
      <c r="Q185" s="101">
        <f t="shared" si="18"/>
        <v>95435.51</v>
      </c>
      <c r="R185" s="101">
        <f t="shared" si="15"/>
        <v>-43796.02</v>
      </c>
      <c r="S185" s="101">
        <f t="shared" si="16"/>
        <v>0</v>
      </c>
      <c r="T185" s="103">
        <f t="shared" si="17"/>
        <v>0</v>
      </c>
    </row>
    <row r="186" spans="2:20" x14ac:dyDescent="0.25">
      <c r="B186" s="99">
        <v>182</v>
      </c>
      <c r="C186" s="100" t="s">
        <v>996</v>
      </c>
      <c r="D186" s="100">
        <v>55</v>
      </c>
      <c r="E186" s="100" t="s">
        <v>1062</v>
      </c>
      <c r="F186" s="101">
        <v>9.9</v>
      </c>
      <c r="G186" s="101">
        <v>54450</v>
      </c>
      <c r="H186" s="100" t="s">
        <v>1056</v>
      </c>
      <c r="I186" s="101">
        <v>21.2</v>
      </c>
      <c r="J186" s="101">
        <v>116636.85</v>
      </c>
      <c r="K186" s="100" t="s">
        <v>623</v>
      </c>
      <c r="L186" s="100">
        <v>-62223.7</v>
      </c>
      <c r="M186" s="102">
        <v>-0.1076</v>
      </c>
      <c r="N186" s="100"/>
      <c r="O186" s="101">
        <f t="shared" si="13"/>
        <v>-62186.850000000006</v>
      </c>
      <c r="P186" s="101">
        <f t="shared" si="14"/>
        <v>54413.15</v>
      </c>
      <c r="Q186" s="101">
        <f t="shared" si="18"/>
        <v>116636.85</v>
      </c>
      <c r="R186" s="101">
        <f t="shared" si="15"/>
        <v>-62223.700000000004</v>
      </c>
      <c r="S186" s="101">
        <f t="shared" si="16"/>
        <v>0</v>
      </c>
      <c r="T186" s="103">
        <f t="shared" si="17"/>
        <v>0</v>
      </c>
    </row>
    <row r="187" spans="2:20" x14ac:dyDescent="0.25">
      <c r="B187" s="99">
        <v>183</v>
      </c>
      <c r="C187" s="100" t="s">
        <v>524</v>
      </c>
      <c r="D187" s="100">
        <v>38</v>
      </c>
      <c r="E187" s="100" t="s">
        <v>1063</v>
      </c>
      <c r="F187" s="101">
        <v>12.9</v>
      </c>
      <c r="G187" s="101">
        <v>49020</v>
      </c>
      <c r="H187" s="100" t="s">
        <v>1064</v>
      </c>
      <c r="I187" s="101">
        <v>20.8</v>
      </c>
      <c r="J187" s="101">
        <v>79065.460000000006</v>
      </c>
      <c r="K187" s="100" t="s">
        <v>623</v>
      </c>
      <c r="L187" s="100">
        <v>-30070.92</v>
      </c>
      <c r="M187" s="102">
        <v>-6.4299999999999996E-2</v>
      </c>
      <c r="N187" s="100"/>
      <c r="O187" s="101">
        <f t="shared" si="13"/>
        <v>-30045.460000000006</v>
      </c>
      <c r="P187" s="101">
        <f t="shared" si="14"/>
        <v>48994.54</v>
      </c>
      <c r="Q187" s="101">
        <f t="shared" si="18"/>
        <v>79065.460000000006</v>
      </c>
      <c r="R187" s="101">
        <f t="shared" si="15"/>
        <v>-30070.920000000006</v>
      </c>
      <c r="S187" s="101">
        <f t="shared" si="16"/>
        <v>0</v>
      </c>
      <c r="T187" s="103">
        <f t="shared" si="17"/>
        <v>0</v>
      </c>
    </row>
    <row r="188" spans="2:20" ht="15.75" thickBot="1" x14ac:dyDescent="0.3">
      <c r="B188" s="104">
        <v>184</v>
      </c>
      <c r="C188" s="105" t="s">
        <v>993</v>
      </c>
      <c r="D188" s="105">
        <v>35</v>
      </c>
      <c r="E188" s="105" t="s">
        <v>1065</v>
      </c>
      <c r="F188" s="106">
        <v>12.8</v>
      </c>
      <c r="G188" s="106">
        <v>44800</v>
      </c>
      <c r="H188" s="105" t="s">
        <v>1066</v>
      </c>
      <c r="I188" s="106">
        <v>22.3</v>
      </c>
      <c r="J188" s="106">
        <v>78073.45</v>
      </c>
      <c r="K188" s="105" t="s">
        <v>623</v>
      </c>
      <c r="L188" s="105">
        <v>-33296.9</v>
      </c>
      <c r="M188" s="107">
        <v>-9.7900000000000001E-2</v>
      </c>
      <c r="N188" s="105"/>
      <c r="O188" s="106">
        <f t="shared" si="13"/>
        <v>-33273.449999999997</v>
      </c>
      <c r="P188" s="106">
        <f t="shared" si="14"/>
        <v>44776.55</v>
      </c>
      <c r="Q188" s="106">
        <f t="shared" si="18"/>
        <v>78073.45</v>
      </c>
      <c r="R188" s="106">
        <f t="shared" si="15"/>
        <v>-33296.899999999994</v>
      </c>
      <c r="S188" s="106">
        <f t="shared" si="16"/>
        <v>0</v>
      </c>
      <c r="T188" s="108">
        <f t="shared" si="17"/>
        <v>0</v>
      </c>
    </row>
    <row r="189" spans="2:20" x14ac:dyDescent="0.25">
      <c r="B189" s="94">
        <v>185</v>
      </c>
      <c r="C189" s="95" t="s">
        <v>396</v>
      </c>
      <c r="D189" s="95">
        <v>27</v>
      </c>
      <c r="E189" s="95" t="s">
        <v>397</v>
      </c>
      <c r="F189" s="96">
        <v>4.8</v>
      </c>
      <c r="G189" s="96">
        <v>12960</v>
      </c>
      <c r="H189" s="95" t="s">
        <v>398</v>
      </c>
      <c r="I189" s="96">
        <v>2.4</v>
      </c>
      <c r="J189" s="96">
        <v>6498.09</v>
      </c>
      <c r="K189" s="95" t="s">
        <v>399</v>
      </c>
      <c r="L189" s="95">
        <v>6443.82</v>
      </c>
      <c r="M189" s="97">
        <v>8.77E-2</v>
      </c>
      <c r="N189" s="95"/>
      <c r="O189" s="96">
        <f t="shared" si="13"/>
        <v>6461.91</v>
      </c>
      <c r="P189" s="96">
        <f t="shared" si="14"/>
        <v>12941.91</v>
      </c>
      <c r="Q189" s="96">
        <f t="shared" si="18"/>
        <v>6498.09</v>
      </c>
      <c r="R189" s="96">
        <f t="shared" si="15"/>
        <v>6443.82</v>
      </c>
      <c r="S189" s="96">
        <f t="shared" si="16"/>
        <v>0</v>
      </c>
      <c r="T189" s="98">
        <f t="shared" si="17"/>
        <v>0</v>
      </c>
    </row>
    <row r="190" spans="2:20" x14ac:dyDescent="0.25">
      <c r="B190" s="99">
        <v>186</v>
      </c>
      <c r="C190" s="100" t="s">
        <v>400</v>
      </c>
      <c r="D190" s="100">
        <v>5</v>
      </c>
      <c r="E190" s="100" t="s">
        <v>401</v>
      </c>
      <c r="F190" s="101">
        <v>22.1</v>
      </c>
      <c r="G190" s="101">
        <v>11050</v>
      </c>
      <c r="H190" s="100" t="s">
        <v>402</v>
      </c>
      <c r="I190" s="101">
        <v>8.4499999999999993</v>
      </c>
      <c r="J190" s="101">
        <v>4228.3500000000004</v>
      </c>
      <c r="K190" s="100" t="s">
        <v>399</v>
      </c>
      <c r="L190" s="100">
        <v>6818.3</v>
      </c>
      <c r="M190" s="102">
        <v>6.1199999999999997E-2</v>
      </c>
      <c r="N190" s="100"/>
      <c r="O190" s="101">
        <f t="shared" si="13"/>
        <v>6821.65</v>
      </c>
      <c r="P190" s="101">
        <f t="shared" si="14"/>
        <v>11046.65</v>
      </c>
      <c r="Q190" s="101">
        <f t="shared" si="18"/>
        <v>4228.3500000000004</v>
      </c>
      <c r="R190" s="101">
        <f t="shared" si="15"/>
        <v>6818.2999999999993</v>
      </c>
      <c r="S190" s="101">
        <f t="shared" si="16"/>
        <v>0</v>
      </c>
      <c r="T190" s="103">
        <f t="shared" si="17"/>
        <v>0</v>
      </c>
    </row>
    <row r="191" spans="2:20" x14ac:dyDescent="0.25">
      <c r="B191" s="99">
        <v>187</v>
      </c>
      <c r="C191" s="100" t="s">
        <v>396</v>
      </c>
      <c r="D191" s="100">
        <v>31</v>
      </c>
      <c r="E191" s="100" t="s">
        <v>403</v>
      </c>
      <c r="F191" s="101">
        <v>4.2</v>
      </c>
      <c r="G191" s="101">
        <v>13020</v>
      </c>
      <c r="H191" s="100" t="s">
        <v>404</v>
      </c>
      <c r="I191" s="101">
        <v>2.0099999999999998</v>
      </c>
      <c r="J191" s="101">
        <v>6251.77</v>
      </c>
      <c r="K191" s="100" t="s">
        <v>399</v>
      </c>
      <c r="L191" s="100">
        <v>6747.46</v>
      </c>
      <c r="M191" s="102">
        <v>7.5600000000000001E-2</v>
      </c>
      <c r="N191" s="100"/>
      <c r="O191" s="101">
        <f t="shared" si="13"/>
        <v>6768.23</v>
      </c>
      <c r="P191" s="101">
        <f t="shared" si="14"/>
        <v>12999.230000000001</v>
      </c>
      <c r="Q191" s="101">
        <f t="shared" si="18"/>
        <v>6251.7699999999995</v>
      </c>
      <c r="R191" s="101">
        <f t="shared" si="15"/>
        <v>6747.4600000000019</v>
      </c>
      <c r="S191" s="101">
        <f t="shared" si="16"/>
        <v>0</v>
      </c>
      <c r="T191" s="103">
        <f t="shared" si="17"/>
        <v>0</v>
      </c>
    </row>
    <row r="192" spans="2:20" x14ac:dyDescent="0.25">
      <c r="B192" s="99">
        <v>188</v>
      </c>
      <c r="C192" s="100" t="s">
        <v>396</v>
      </c>
      <c r="D192" s="100">
        <v>31</v>
      </c>
      <c r="E192" s="100" t="s">
        <v>405</v>
      </c>
      <c r="F192" s="101">
        <v>4.3499999999999996</v>
      </c>
      <c r="G192" s="101">
        <v>13485</v>
      </c>
      <c r="H192" s="100" t="s">
        <v>406</v>
      </c>
      <c r="I192" s="101">
        <v>2.11</v>
      </c>
      <c r="J192" s="101">
        <v>6561.77</v>
      </c>
      <c r="K192" s="100" t="s">
        <v>399</v>
      </c>
      <c r="L192" s="100">
        <v>6902.46</v>
      </c>
      <c r="M192" s="102">
        <v>7.2599999999999998E-2</v>
      </c>
      <c r="N192" s="100"/>
      <c r="O192" s="101">
        <f t="shared" si="13"/>
        <v>6923.23</v>
      </c>
      <c r="P192" s="101">
        <f t="shared" si="14"/>
        <v>13464.23</v>
      </c>
      <c r="Q192" s="101">
        <f t="shared" si="18"/>
        <v>6561.77</v>
      </c>
      <c r="R192" s="101">
        <f t="shared" si="15"/>
        <v>6902.4599999999991</v>
      </c>
      <c r="S192" s="101">
        <f t="shared" si="16"/>
        <v>0</v>
      </c>
      <c r="T192" s="103">
        <f t="shared" si="17"/>
        <v>0</v>
      </c>
    </row>
    <row r="193" spans="2:20" x14ac:dyDescent="0.25">
      <c r="B193" s="99">
        <v>189</v>
      </c>
      <c r="C193" s="100" t="s">
        <v>407</v>
      </c>
      <c r="D193" s="100">
        <v>4</v>
      </c>
      <c r="E193" s="100" t="s">
        <v>408</v>
      </c>
      <c r="F193" s="101">
        <v>26.4</v>
      </c>
      <c r="G193" s="101">
        <v>10560</v>
      </c>
      <c r="H193" s="100" t="s">
        <v>406</v>
      </c>
      <c r="I193" s="101">
        <v>12.15</v>
      </c>
      <c r="J193" s="101">
        <v>4862.68</v>
      </c>
      <c r="K193" s="100" t="s">
        <v>399</v>
      </c>
      <c r="L193" s="100">
        <v>5694.64</v>
      </c>
      <c r="M193" s="102">
        <v>5.8400000000000001E-2</v>
      </c>
      <c r="N193" s="100"/>
      <c r="O193" s="101">
        <f t="shared" si="13"/>
        <v>5697.32</v>
      </c>
      <c r="P193" s="101">
        <f t="shared" si="14"/>
        <v>10557.32</v>
      </c>
      <c r="Q193" s="101">
        <f t="shared" si="18"/>
        <v>4862.68</v>
      </c>
      <c r="R193" s="101">
        <f t="shared" si="15"/>
        <v>5694.6399999999994</v>
      </c>
      <c r="S193" s="101">
        <f t="shared" si="16"/>
        <v>0</v>
      </c>
      <c r="T193" s="103">
        <f t="shared" si="17"/>
        <v>0</v>
      </c>
    </row>
    <row r="194" spans="2:20" x14ac:dyDescent="0.25">
      <c r="B194" s="99">
        <v>190</v>
      </c>
      <c r="C194" s="100" t="s">
        <v>396</v>
      </c>
      <c r="D194" s="100">
        <v>38</v>
      </c>
      <c r="E194" s="100" t="s">
        <v>409</v>
      </c>
      <c r="F194" s="101">
        <v>3.6</v>
      </c>
      <c r="G194" s="101">
        <v>13680</v>
      </c>
      <c r="H194" s="100" t="s">
        <v>410</v>
      </c>
      <c r="I194" s="101">
        <v>1.76</v>
      </c>
      <c r="J194" s="101">
        <v>6713.46</v>
      </c>
      <c r="K194" s="100" t="s">
        <v>399</v>
      </c>
      <c r="L194" s="100">
        <v>6941.08</v>
      </c>
      <c r="M194" s="102">
        <v>5.6399999999999999E-2</v>
      </c>
      <c r="N194" s="100"/>
      <c r="O194" s="101">
        <f t="shared" si="13"/>
        <v>6966.54</v>
      </c>
      <c r="P194" s="101">
        <f t="shared" si="14"/>
        <v>13654.540000000003</v>
      </c>
      <c r="Q194" s="101">
        <f t="shared" si="18"/>
        <v>6713.46</v>
      </c>
      <c r="R194" s="101">
        <f t="shared" si="15"/>
        <v>6941.0800000000027</v>
      </c>
      <c r="S194" s="101">
        <f t="shared" si="16"/>
        <v>0</v>
      </c>
      <c r="T194" s="103">
        <f t="shared" si="17"/>
        <v>0</v>
      </c>
    </row>
    <row r="195" spans="2:20" x14ac:dyDescent="0.25">
      <c r="B195" s="99">
        <v>191</v>
      </c>
      <c r="C195" s="100" t="s">
        <v>396</v>
      </c>
      <c r="D195" s="100">
        <v>31</v>
      </c>
      <c r="E195" s="100" t="s">
        <v>411</v>
      </c>
      <c r="F195" s="101">
        <v>4.3499999999999996</v>
      </c>
      <c r="G195" s="101">
        <v>13485</v>
      </c>
      <c r="H195" s="100" t="s">
        <v>410</v>
      </c>
      <c r="I195" s="101">
        <v>1.94</v>
      </c>
      <c r="J195" s="101">
        <v>6034.77</v>
      </c>
      <c r="K195" s="100" t="s">
        <v>399</v>
      </c>
      <c r="L195" s="100">
        <v>7429.46</v>
      </c>
      <c r="M195" s="102">
        <v>7.3400000000000007E-2</v>
      </c>
      <c r="N195" s="100"/>
      <c r="O195" s="101">
        <f t="shared" si="13"/>
        <v>7450.23</v>
      </c>
      <c r="P195" s="101">
        <f t="shared" si="14"/>
        <v>13464.23</v>
      </c>
      <c r="Q195" s="101">
        <f t="shared" si="18"/>
        <v>6034.77</v>
      </c>
      <c r="R195" s="101">
        <f t="shared" si="15"/>
        <v>7429.4599999999991</v>
      </c>
      <c r="S195" s="101">
        <f t="shared" si="16"/>
        <v>0</v>
      </c>
      <c r="T195" s="103">
        <f t="shared" si="17"/>
        <v>0</v>
      </c>
    </row>
    <row r="196" spans="2:20" x14ac:dyDescent="0.25">
      <c r="B196" s="99">
        <v>192</v>
      </c>
      <c r="C196" s="100" t="s">
        <v>412</v>
      </c>
      <c r="D196" s="100">
        <v>6</v>
      </c>
      <c r="E196" s="100" t="s">
        <v>413</v>
      </c>
      <c r="F196" s="101">
        <v>19.600000000000001</v>
      </c>
      <c r="G196" s="101">
        <v>11760</v>
      </c>
      <c r="H196" s="100" t="s">
        <v>414</v>
      </c>
      <c r="I196" s="101">
        <v>7.8</v>
      </c>
      <c r="J196" s="101">
        <v>4684.0200000000004</v>
      </c>
      <c r="K196" s="100" t="s">
        <v>399</v>
      </c>
      <c r="L196" s="100">
        <v>7071.96</v>
      </c>
      <c r="M196" s="102">
        <v>5.8799999999999998E-2</v>
      </c>
      <c r="N196" s="100"/>
      <c r="O196" s="101">
        <f t="shared" si="13"/>
        <v>7075.98</v>
      </c>
      <c r="P196" s="101">
        <f t="shared" si="14"/>
        <v>11755.98</v>
      </c>
      <c r="Q196" s="101">
        <f t="shared" si="18"/>
        <v>4684.0200000000004</v>
      </c>
      <c r="R196" s="101">
        <f t="shared" si="15"/>
        <v>7071.9599999999991</v>
      </c>
      <c r="S196" s="101">
        <f t="shared" si="16"/>
        <v>0</v>
      </c>
      <c r="T196" s="103">
        <f t="shared" si="17"/>
        <v>0</v>
      </c>
    </row>
    <row r="197" spans="2:20" x14ac:dyDescent="0.25">
      <c r="B197" s="99">
        <v>193</v>
      </c>
      <c r="C197" s="100" t="s">
        <v>415</v>
      </c>
      <c r="D197" s="100">
        <v>6</v>
      </c>
      <c r="E197" s="100" t="s">
        <v>416</v>
      </c>
      <c r="F197" s="101">
        <v>20.399999999999999</v>
      </c>
      <c r="G197" s="101">
        <v>12240</v>
      </c>
      <c r="H197" s="100" t="s">
        <v>417</v>
      </c>
      <c r="I197" s="101">
        <v>9.1999999999999993</v>
      </c>
      <c r="J197" s="101">
        <v>5524.02</v>
      </c>
      <c r="K197" s="100" t="s">
        <v>399</v>
      </c>
      <c r="L197" s="100">
        <v>6711.96</v>
      </c>
      <c r="M197" s="102">
        <v>5.3400000000000003E-2</v>
      </c>
      <c r="N197" s="100"/>
      <c r="O197" s="101">
        <f t="shared" si="13"/>
        <v>6715.98</v>
      </c>
      <c r="P197" s="101">
        <f t="shared" si="14"/>
        <v>12235.98</v>
      </c>
      <c r="Q197" s="101">
        <f t="shared" si="18"/>
        <v>5524.02</v>
      </c>
      <c r="R197" s="101">
        <f t="shared" si="15"/>
        <v>6711.9599999999991</v>
      </c>
      <c r="S197" s="101">
        <f t="shared" si="16"/>
        <v>0</v>
      </c>
      <c r="T197" s="103">
        <f t="shared" si="17"/>
        <v>0</v>
      </c>
    </row>
    <row r="198" spans="2:20" x14ac:dyDescent="0.25">
      <c r="B198" s="99">
        <v>194</v>
      </c>
      <c r="C198" s="100" t="s">
        <v>418</v>
      </c>
      <c r="D198" s="100">
        <v>32</v>
      </c>
      <c r="E198" s="100" t="s">
        <v>402</v>
      </c>
      <c r="F198" s="101">
        <v>4.3</v>
      </c>
      <c r="G198" s="101">
        <v>13760</v>
      </c>
      <c r="H198" s="100" t="s">
        <v>417</v>
      </c>
      <c r="I198" s="101">
        <v>2.1</v>
      </c>
      <c r="J198" s="101">
        <v>6741.44</v>
      </c>
      <c r="K198" s="100" t="s">
        <v>399</v>
      </c>
      <c r="L198" s="100">
        <v>6997.12</v>
      </c>
      <c r="M198" s="102">
        <v>4.7800000000000002E-2</v>
      </c>
      <c r="N198" s="100"/>
      <c r="O198" s="101">
        <f t="shared" ref="O198:O261" si="19">G198-J198</f>
        <v>7018.56</v>
      </c>
      <c r="P198" s="101">
        <f t="shared" ref="P198:P261" si="20">F198*D198*100 - D198*0.67</f>
        <v>13738.56</v>
      </c>
      <c r="Q198" s="101">
        <f t="shared" si="18"/>
        <v>6741.44</v>
      </c>
      <c r="R198" s="101">
        <f t="shared" ref="R198:R261" si="21">P198-Q198</f>
        <v>6997.12</v>
      </c>
      <c r="S198" s="101">
        <f t="shared" ref="S198:S261" si="22">L198-R198</f>
        <v>0</v>
      </c>
      <c r="T198" s="103">
        <f t="shared" ref="T198:T261" si="23">S198/D198</f>
        <v>0</v>
      </c>
    </row>
    <row r="199" spans="2:20" x14ac:dyDescent="0.25">
      <c r="B199" s="99">
        <v>195</v>
      </c>
      <c r="C199" s="100" t="s">
        <v>415</v>
      </c>
      <c r="D199" s="100">
        <v>7</v>
      </c>
      <c r="E199" s="100" t="s">
        <v>419</v>
      </c>
      <c r="F199" s="101">
        <v>19.8</v>
      </c>
      <c r="G199" s="101">
        <v>13860</v>
      </c>
      <c r="H199" s="100" t="s">
        <v>420</v>
      </c>
      <c r="I199" s="101">
        <v>9.6999999999999993</v>
      </c>
      <c r="J199" s="101">
        <v>6794.69</v>
      </c>
      <c r="K199" s="100" t="s">
        <v>399</v>
      </c>
      <c r="L199" s="100">
        <v>7060.62</v>
      </c>
      <c r="M199" s="102">
        <v>4.8000000000000001E-2</v>
      </c>
      <c r="N199" s="100"/>
      <c r="O199" s="101">
        <f t="shared" si="19"/>
        <v>7065.31</v>
      </c>
      <c r="P199" s="101">
        <f t="shared" si="20"/>
        <v>13855.31</v>
      </c>
      <c r="Q199" s="101">
        <f t="shared" si="18"/>
        <v>6794.6899999999987</v>
      </c>
      <c r="R199" s="101">
        <f t="shared" si="21"/>
        <v>7060.6200000000008</v>
      </c>
      <c r="S199" s="101">
        <f t="shared" si="22"/>
        <v>0</v>
      </c>
      <c r="T199" s="103">
        <f t="shared" si="23"/>
        <v>0</v>
      </c>
    </row>
    <row r="200" spans="2:20" x14ac:dyDescent="0.25">
      <c r="B200" s="99">
        <v>196</v>
      </c>
      <c r="C200" s="100" t="s">
        <v>421</v>
      </c>
      <c r="D200" s="100">
        <v>3</v>
      </c>
      <c r="E200" s="100" t="s">
        <v>422</v>
      </c>
      <c r="F200" s="101">
        <v>40.6</v>
      </c>
      <c r="G200" s="101">
        <v>12180</v>
      </c>
      <c r="H200" s="100" t="s">
        <v>423</v>
      </c>
      <c r="I200" s="101">
        <v>20</v>
      </c>
      <c r="J200" s="101">
        <v>6002.01</v>
      </c>
      <c r="K200" s="100" t="s">
        <v>399</v>
      </c>
      <c r="L200" s="100">
        <v>6175.98</v>
      </c>
      <c r="M200" s="102">
        <v>4.6899999999999997E-2</v>
      </c>
      <c r="N200" s="100"/>
      <c r="O200" s="101">
        <f t="shared" si="19"/>
        <v>6177.99</v>
      </c>
      <c r="P200" s="101">
        <f t="shared" si="20"/>
        <v>12177.990000000002</v>
      </c>
      <c r="Q200" s="101">
        <f t="shared" si="18"/>
        <v>6002.01</v>
      </c>
      <c r="R200" s="101">
        <f t="shared" si="21"/>
        <v>6175.9800000000014</v>
      </c>
      <c r="S200" s="101">
        <f t="shared" si="22"/>
        <v>0</v>
      </c>
      <c r="T200" s="103">
        <f t="shared" si="23"/>
        <v>0</v>
      </c>
    </row>
    <row r="201" spans="2:20" x14ac:dyDescent="0.25">
      <c r="B201" s="99">
        <v>197</v>
      </c>
      <c r="C201" s="100" t="s">
        <v>415</v>
      </c>
      <c r="D201" s="100">
        <v>6</v>
      </c>
      <c r="E201" s="100" t="s">
        <v>424</v>
      </c>
      <c r="F201" s="101">
        <v>21.9</v>
      </c>
      <c r="G201" s="101">
        <v>13140</v>
      </c>
      <c r="H201" s="100" t="s">
        <v>423</v>
      </c>
      <c r="I201" s="101">
        <v>10.7</v>
      </c>
      <c r="J201" s="101">
        <v>6424.02</v>
      </c>
      <c r="K201" s="100" t="s">
        <v>399</v>
      </c>
      <c r="L201" s="100">
        <v>6711.96</v>
      </c>
      <c r="M201" s="102">
        <v>5.1299999999999998E-2</v>
      </c>
      <c r="N201" s="100"/>
      <c r="O201" s="101">
        <f t="shared" si="19"/>
        <v>6715.98</v>
      </c>
      <c r="P201" s="101">
        <f t="shared" si="20"/>
        <v>13135.979999999998</v>
      </c>
      <c r="Q201" s="101">
        <f t="shared" si="18"/>
        <v>6424.0199999999995</v>
      </c>
      <c r="R201" s="101">
        <f t="shared" si="21"/>
        <v>6711.9599999999982</v>
      </c>
      <c r="S201" s="101">
        <f t="shared" si="22"/>
        <v>0</v>
      </c>
      <c r="T201" s="103">
        <f t="shared" si="23"/>
        <v>0</v>
      </c>
    </row>
    <row r="202" spans="2:20" x14ac:dyDescent="0.25">
      <c r="B202" s="99">
        <v>198</v>
      </c>
      <c r="C202" s="100" t="s">
        <v>415</v>
      </c>
      <c r="D202" s="100">
        <v>6</v>
      </c>
      <c r="E202" s="100" t="s">
        <v>425</v>
      </c>
      <c r="F202" s="101">
        <v>23</v>
      </c>
      <c r="G202" s="101">
        <v>13800</v>
      </c>
      <c r="H202" s="100" t="s">
        <v>426</v>
      </c>
      <c r="I202" s="101">
        <v>11.1</v>
      </c>
      <c r="J202" s="101">
        <v>6664.02</v>
      </c>
      <c r="K202" s="100" t="s">
        <v>399</v>
      </c>
      <c r="L202" s="100">
        <v>7131.96</v>
      </c>
      <c r="M202" s="102">
        <v>5.2400000000000002E-2</v>
      </c>
      <c r="N202" s="100"/>
      <c r="O202" s="101">
        <f t="shared" si="19"/>
        <v>7135.98</v>
      </c>
      <c r="P202" s="101">
        <f t="shared" si="20"/>
        <v>13795.98</v>
      </c>
      <c r="Q202" s="101">
        <f t="shared" si="18"/>
        <v>6664.0199999999995</v>
      </c>
      <c r="R202" s="101">
        <f t="shared" si="21"/>
        <v>7131.96</v>
      </c>
      <c r="S202" s="101">
        <f t="shared" si="22"/>
        <v>0</v>
      </c>
      <c r="T202" s="103">
        <f t="shared" si="23"/>
        <v>0</v>
      </c>
    </row>
    <row r="203" spans="2:20" x14ac:dyDescent="0.25">
      <c r="B203" s="99">
        <v>199</v>
      </c>
      <c r="C203" s="100" t="s">
        <v>412</v>
      </c>
      <c r="D203" s="100">
        <v>7</v>
      </c>
      <c r="E203" s="100" t="s">
        <v>427</v>
      </c>
      <c r="F203" s="101">
        <v>18.3</v>
      </c>
      <c r="G203" s="101">
        <v>12810</v>
      </c>
      <c r="H203" s="100" t="s">
        <v>428</v>
      </c>
      <c r="I203" s="101">
        <v>9.1</v>
      </c>
      <c r="J203" s="101">
        <v>6374.69</v>
      </c>
      <c r="K203" s="100" t="s">
        <v>399</v>
      </c>
      <c r="L203" s="100">
        <v>6430.62</v>
      </c>
      <c r="M203" s="102">
        <v>4.7899999999999998E-2</v>
      </c>
      <c r="N203" s="100"/>
      <c r="O203" s="101">
        <f t="shared" si="19"/>
        <v>6435.31</v>
      </c>
      <c r="P203" s="101">
        <f t="shared" si="20"/>
        <v>12805.31</v>
      </c>
      <c r="Q203" s="101">
        <f t="shared" si="18"/>
        <v>6374.69</v>
      </c>
      <c r="R203" s="101">
        <f t="shared" si="21"/>
        <v>6430.62</v>
      </c>
      <c r="S203" s="101">
        <f t="shared" si="22"/>
        <v>0</v>
      </c>
      <c r="T203" s="103">
        <f t="shared" si="23"/>
        <v>0</v>
      </c>
    </row>
    <row r="204" spans="2:20" x14ac:dyDescent="0.25">
      <c r="B204" s="99">
        <v>200</v>
      </c>
      <c r="C204" s="100" t="s">
        <v>429</v>
      </c>
      <c r="D204" s="100">
        <v>6</v>
      </c>
      <c r="E204" s="100" t="s">
        <v>430</v>
      </c>
      <c r="F204" s="101">
        <v>22.5</v>
      </c>
      <c r="G204" s="101">
        <v>13500</v>
      </c>
      <c r="H204" s="100" t="s">
        <v>431</v>
      </c>
      <c r="I204" s="101">
        <v>10.5</v>
      </c>
      <c r="J204" s="101">
        <v>6304.02</v>
      </c>
      <c r="K204" s="100" t="s">
        <v>399</v>
      </c>
      <c r="L204" s="100">
        <v>7191.96</v>
      </c>
      <c r="M204" s="102">
        <v>5.0500000000000003E-2</v>
      </c>
      <c r="N204" s="100"/>
      <c r="O204" s="101">
        <f t="shared" si="19"/>
        <v>7195.98</v>
      </c>
      <c r="P204" s="101">
        <f t="shared" si="20"/>
        <v>13495.98</v>
      </c>
      <c r="Q204" s="101">
        <f t="shared" si="18"/>
        <v>6304.02</v>
      </c>
      <c r="R204" s="101">
        <f t="shared" si="21"/>
        <v>7191.9599999999991</v>
      </c>
      <c r="S204" s="101">
        <f t="shared" si="22"/>
        <v>0</v>
      </c>
      <c r="T204" s="103">
        <f t="shared" si="23"/>
        <v>0</v>
      </c>
    </row>
    <row r="205" spans="2:20" x14ac:dyDescent="0.25">
      <c r="B205" s="99">
        <v>201</v>
      </c>
      <c r="C205" s="100" t="s">
        <v>432</v>
      </c>
      <c r="D205" s="100">
        <v>10</v>
      </c>
      <c r="E205" s="100" t="s">
        <v>433</v>
      </c>
      <c r="F205" s="101">
        <v>13.15</v>
      </c>
      <c r="G205" s="101">
        <v>13150</v>
      </c>
      <c r="H205" s="100" t="s">
        <v>434</v>
      </c>
      <c r="I205" s="101">
        <v>6.35</v>
      </c>
      <c r="J205" s="101">
        <v>6356.7</v>
      </c>
      <c r="K205" s="100" t="s">
        <v>399</v>
      </c>
      <c r="L205" s="100">
        <v>6786.6</v>
      </c>
      <c r="M205" s="102">
        <v>5.1499999999999997E-2</v>
      </c>
      <c r="N205" s="100"/>
      <c r="O205" s="101">
        <f t="shared" si="19"/>
        <v>6793.3</v>
      </c>
      <c r="P205" s="101">
        <f t="shared" si="20"/>
        <v>13143.3</v>
      </c>
      <c r="Q205" s="101">
        <f t="shared" si="18"/>
        <v>6356.7</v>
      </c>
      <c r="R205" s="101">
        <f t="shared" si="21"/>
        <v>6786.5999999999995</v>
      </c>
      <c r="S205" s="101">
        <f t="shared" si="22"/>
        <v>0</v>
      </c>
      <c r="T205" s="103">
        <f t="shared" si="23"/>
        <v>0</v>
      </c>
    </row>
    <row r="206" spans="2:20" x14ac:dyDescent="0.25">
      <c r="B206" s="99">
        <v>202</v>
      </c>
      <c r="C206" s="100" t="s">
        <v>435</v>
      </c>
      <c r="D206" s="100">
        <v>22</v>
      </c>
      <c r="E206" s="100" t="s">
        <v>420</v>
      </c>
      <c r="F206" s="101">
        <v>6.7</v>
      </c>
      <c r="G206" s="101">
        <v>14740</v>
      </c>
      <c r="H206" s="100" t="s">
        <v>436</v>
      </c>
      <c r="I206" s="101">
        <v>3</v>
      </c>
      <c r="J206" s="101">
        <v>6614.74</v>
      </c>
      <c r="K206" s="100" t="s">
        <v>399</v>
      </c>
      <c r="L206" s="100">
        <v>8110.52</v>
      </c>
      <c r="M206" s="102">
        <v>6.3200000000000006E-2</v>
      </c>
      <c r="N206" s="100"/>
      <c r="O206" s="101">
        <f t="shared" si="19"/>
        <v>8125.26</v>
      </c>
      <c r="P206" s="101">
        <f t="shared" si="20"/>
        <v>14725.26</v>
      </c>
      <c r="Q206" s="101">
        <f t="shared" si="18"/>
        <v>6614.74</v>
      </c>
      <c r="R206" s="101">
        <f t="shared" si="21"/>
        <v>8110.52</v>
      </c>
      <c r="S206" s="101">
        <f t="shared" si="22"/>
        <v>0</v>
      </c>
      <c r="T206" s="103">
        <f t="shared" si="23"/>
        <v>0</v>
      </c>
    </row>
    <row r="207" spans="2:20" x14ac:dyDescent="0.25">
      <c r="B207" s="99">
        <v>203</v>
      </c>
      <c r="C207" s="100" t="s">
        <v>437</v>
      </c>
      <c r="D207" s="100">
        <v>19</v>
      </c>
      <c r="E207" s="100" t="s">
        <v>438</v>
      </c>
      <c r="F207" s="101">
        <v>7.5</v>
      </c>
      <c r="G207" s="101">
        <v>14250</v>
      </c>
      <c r="H207" s="100" t="s">
        <v>439</v>
      </c>
      <c r="I207" s="101">
        <v>3.7</v>
      </c>
      <c r="J207" s="101">
        <v>7042.73</v>
      </c>
      <c r="K207" s="100" t="s">
        <v>399</v>
      </c>
      <c r="L207" s="100">
        <v>7194.54</v>
      </c>
      <c r="M207" s="102">
        <v>5.2200000000000003E-2</v>
      </c>
      <c r="N207" s="100"/>
      <c r="O207" s="101">
        <f t="shared" si="19"/>
        <v>7207.27</v>
      </c>
      <c r="P207" s="101">
        <f t="shared" si="20"/>
        <v>14237.27</v>
      </c>
      <c r="Q207" s="101">
        <f t="shared" si="18"/>
        <v>7042.73</v>
      </c>
      <c r="R207" s="101">
        <f t="shared" si="21"/>
        <v>7194.5400000000009</v>
      </c>
      <c r="S207" s="101">
        <f t="shared" si="22"/>
        <v>0</v>
      </c>
      <c r="T207" s="103">
        <f t="shared" si="23"/>
        <v>0</v>
      </c>
    </row>
    <row r="208" spans="2:20" x14ac:dyDescent="0.25">
      <c r="B208" s="99">
        <v>204</v>
      </c>
      <c r="C208" s="100" t="s">
        <v>440</v>
      </c>
      <c r="D208" s="100">
        <v>5</v>
      </c>
      <c r="E208" s="100" t="s">
        <v>441</v>
      </c>
      <c r="F208" s="101">
        <v>28</v>
      </c>
      <c r="G208" s="101">
        <v>14000</v>
      </c>
      <c r="H208" s="100" t="s">
        <v>439</v>
      </c>
      <c r="I208" s="101">
        <v>4.0999999999999996</v>
      </c>
      <c r="J208" s="101">
        <v>2053.35</v>
      </c>
      <c r="K208" s="100" t="s">
        <v>399</v>
      </c>
      <c r="L208" s="100">
        <v>11943.3</v>
      </c>
      <c r="M208" s="102">
        <v>0.24629999999999999</v>
      </c>
      <c r="N208" s="100"/>
      <c r="O208" s="101">
        <f t="shared" si="19"/>
        <v>11946.65</v>
      </c>
      <c r="P208" s="101">
        <f t="shared" si="20"/>
        <v>13996.65</v>
      </c>
      <c r="Q208" s="101">
        <f t="shared" si="18"/>
        <v>2053.35</v>
      </c>
      <c r="R208" s="101">
        <f t="shared" si="21"/>
        <v>11943.3</v>
      </c>
      <c r="S208" s="101">
        <f t="shared" si="22"/>
        <v>0</v>
      </c>
      <c r="T208" s="103">
        <f t="shared" si="23"/>
        <v>0</v>
      </c>
    </row>
    <row r="209" spans="2:20" x14ac:dyDescent="0.25">
      <c r="B209" s="99">
        <v>205</v>
      </c>
      <c r="C209" s="100" t="s">
        <v>440</v>
      </c>
      <c r="D209" s="100">
        <v>7</v>
      </c>
      <c r="E209" s="100" t="s">
        <v>442</v>
      </c>
      <c r="F209" s="101">
        <v>21.5</v>
      </c>
      <c r="G209" s="101">
        <v>15050</v>
      </c>
      <c r="H209" s="100" t="s">
        <v>439</v>
      </c>
      <c r="I209" s="101">
        <v>3.65</v>
      </c>
      <c r="J209" s="101">
        <v>2559.69</v>
      </c>
      <c r="K209" s="100" t="s">
        <v>399</v>
      </c>
      <c r="L209" s="100">
        <v>12485.62</v>
      </c>
      <c r="M209" s="102">
        <v>0.18110000000000001</v>
      </c>
      <c r="N209" s="100"/>
      <c r="O209" s="101">
        <f t="shared" si="19"/>
        <v>12490.31</v>
      </c>
      <c r="P209" s="101">
        <f t="shared" si="20"/>
        <v>15045.31</v>
      </c>
      <c r="Q209" s="101">
        <f t="shared" si="18"/>
        <v>2559.69</v>
      </c>
      <c r="R209" s="101">
        <f t="shared" si="21"/>
        <v>12485.619999999999</v>
      </c>
      <c r="S209" s="101">
        <f t="shared" si="22"/>
        <v>0</v>
      </c>
      <c r="T209" s="103">
        <f t="shared" si="23"/>
        <v>0</v>
      </c>
    </row>
    <row r="210" spans="2:20" x14ac:dyDescent="0.25">
      <c r="B210" s="99">
        <v>206</v>
      </c>
      <c r="C210" s="100" t="s">
        <v>440</v>
      </c>
      <c r="D210" s="100">
        <v>8</v>
      </c>
      <c r="E210" s="100" t="s">
        <v>443</v>
      </c>
      <c r="F210" s="101">
        <v>18.600000000000001</v>
      </c>
      <c r="G210" s="101">
        <v>14880</v>
      </c>
      <c r="H210" s="100" t="s">
        <v>439</v>
      </c>
      <c r="I210" s="101">
        <v>3.15</v>
      </c>
      <c r="J210" s="101">
        <v>2525.36</v>
      </c>
      <c r="K210" s="100" t="s">
        <v>399</v>
      </c>
      <c r="L210" s="100">
        <v>12349.28</v>
      </c>
      <c r="M210" s="102">
        <v>0.16009999999999999</v>
      </c>
      <c r="N210" s="100"/>
      <c r="O210" s="101">
        <f t="shared" si="19"/>
        <v>12354.64</v>
      </c>
      <c r="P210" s="101">
        <f t="shared" si="20"/>
        <v>14874.640000000001</v>
      </c>
      <c r="Q210" s="101">
        <f t="shared" si="18"/>
        <v>2525.36</v>
      </c>
      <c r="R210" s="101">
        <f t="shared" si="21"/>
        <v>12349.28</v>
      </c>
      <c r="S210" s="101">
        <f t="shared" si="22"/>
        <v>0</v>
      </c>
      <c r="T210" s="103">
        <f t="shared" si="23"/>
        <v>0</v>
      </c>
    </row>
    <row r="211" spans="2:20" x14ac:dyDescent="0.25">
      <c r="B211" s="99">
        <v>207</v>
      </c>
      <c r="C211" s="100" t="s">
        <v>440</v>
      </c>
      <c r="D211" s="100">
        <v>11</v>
      </c>
      <c r="E211" s="100" t="s">
        <v>444</v>
      </c>
      <c r="F211" s="101">
        <v>13.15</v>
      </c>
      <c r="G211" s="101">
        <v>14465</v>
      </c>
      <c r="H211" s="100" t="s">
        <v>439</v>
      </c>
      <c r="I211" s="101">
        <v>2.77</v>
      </c>
      <c r="J211" s="101">
        <v>3054.37</v>
      </c>
      <c r="K211" s="100" t="s">
        <v>399</v>
      </c>
      <c r="L211" s="100">
        <v>11403.26</v>
      </c>
      <c r="M211" s="102">
        <v>0.107</v>
      </c>
      <c r="N211" s="100"/>
      <c r="O211" s="101">
        <f t="shared" si="19"/>
        <v>11410.630000000001</v>
      </c>
      <c r="P211" s="101">
        <f t="shared" si="20"/>
        <v>14457.63</v>
      </c>
      <c r="Q211" s="101">
        <f t="shared" si="18"/>
        <v>3054.37</v>
      </c>
      <c r="R211" s="101">
        <f t="shared" si="21"/>
        <v>11403.259999999998</v>
      </c>
      <c r="S211" s="101">
        <f t="shared" si="22"/>
        <v>0</v>
      </c>
      <c r="T211" s="103">
        <f t="shared" si="23"/>
        <v>0</v>
      </c>
    </row>
    <row r="212" spans="2:20" x14ac:dyDescent="0.25">
      <c r="B212" s="99">
        <v>208</v>
      </c>
      <c r="C212" s="100" t="s">
        <v>440</v>
      </c>
      <c r="D212" s="100">
        <v>9</v>
      </c>
      <c r="E212" s="100" t="s">
        <v>445</v>
      </c>
      <c r="F212" s="101">
        <v>14.6</v>
      </c>
      <c r="G212" s="101">
        <v>13140</v>
      </c>
      <c r="H212" s="100" t="s">
        <v>446</v>
      </c>
      <c r="I212" s="101">
        <v>7</v>
      </c>
      <c r="J212" s="101">
        <v>6306.03</v>
      </c>
      <c r="K212" s="100" t="s">
        <v>399</v>
      </c>
      <c r="L212" s="100">
        <v>6827.94</v>
      </c>
      <c r="M212" s="102">
        <v>5.3999999999999999E-2</v>
      </c>
      <c r="N212" s="100"/>
      <c r="O212" s="101">
        <f t="shared" si="19"/>
        <v>6833.97</v>
      </c>
      <c r="P212" s="101">
        <f t="shared" si="20"/>
        <v>13133.97</v>
      </c>
      <c r="Q212" s="101">
        <f t="shared" si="18"/>
        <v>6306.03</v>
      </c>
      <c r="R212" s="101">
        <f t="shared" si="21"/>
        <v>6827.94</v>
      </c>
      <c r="S212" s="101">
        <f t="shared" si="22"/>
        <v>0</v>
      </c>
      <c r="T212" s="103">
        <f t="shared" si="23"/>
        <v>0</v>
      </c>
    </row>
    <row r="213" spans="2:20" x14ac:dyDescent="0.25">
      <c r="B213" s="99">
        <v>209</v>
      </c>
      <c r="C213" s="100" t="s">
        <v>447</v>
      </c>
      <c r="D213" s="100">
        <v>11</v>
      </c>
      <c r="E213" s="100" t="s">
        <v>448</v>
      </c>
      <c r="F213" s="101">
        <v>12.4</v>
      </c>
      <c r="G213" s="101">
        <v>13640</v>
      </c>
      <c r="H213" s="100" t="s">
        <v>446</v>
      </c>
      <c r="I213" s="101">
        <v>6.1</v>
      </c>
      <c r="J213" s="101">
        <v>6717.37</v>
      </c>
      <c r="K213" s="100" t="s">
        <v>399</v>
      </c>
      <c r="L213" s="100">
        <v>6915.26</v>
      </c>
      <c r="M213" s="102">
        <v>5.3499999999999999E-2</v>
      </c>
      <c r="N213" s="100"/>
      <c r="O213" s="101">
        <f t="shared" si="19"/>
        <v>6922.63</v>
      </c>
      <c r="P213" s="101">
        <f t="shared" si="20"/>
        <v>13632.63</v>
      </c>
      <c r="Q213" s="101">
        <f t="shared" si="18"/>
        <v>6717.369999999999</v>
      </c>
      <c r="R213" s="101">
        <f t="shared" si="21"/>
        <v>6915.26</v>
      </c>
      <c r="S213" s="101">
        <f t="shared" si="22"/>
        <v>0</v>
      </c>
      <c r="T213" s="103">
        <f t="shared" si="23"/>
        <v>0</v>
      </c>
    </row>
    <row r="214" spans="2:20" x14ac:dyDescent="0.25">
      <c r="B214" s="99">
        <v>210</v>
      </c>
      <c r="C214" s="100" t="s">
        <v>392</v>
      </c>
      <c r="D214" s="100">
        <v>6</v>
      </c>
      <c r="E214" s="100" t="s">
        <v>417</v>
      </c>
      <c r="F214" s="101">
        <v>21.6</v>
      </c>
      <c r="G214" s="101">
        <v>12960</v>
      </c>
      <c r="H214" s="100" t="s">
        <v>446</v>
      </c>
      <c r="I214" s="101">
        <v>8.6999999999999993</v>
      </c>
      <c r="J214" s="101">
        <v>5224.0200000000004</v>
      </c>
      <c r="K214" s="100" t="s">
        <v>399</v>
      </c>
      <c r="L214" s="100">
        <v>7731.96</v>
      </c>
      <c r="M214" s="102">
        <v>7.22E-2</v>
      </c>
      <c r="N214" s="100"/>
      <c r="O214" s="101">
        <f t="shared" si="19"/>
        <v>7735.98</v>
      </c>
      <c r="P214" s="101">
        <f t="shared" si="20"/>
        <v>12955.980000000001</v>
      </c>
      <c r="Q214" s="101">
        <f t="shared" si="18"/>
        <v>5224.0200000000004</v>
      </c>
      <c r="R214" s="101">
        <f t="shared" si="21"/>
        <v>7731.9600000000009</v>
      </c>
      <c r="S214" s="101">
        <f t="shared" si="22"/>
        <v>0</v>
      </c>
      <c r="T214" s="103">
        <f t="shared" si="23"/>
        <v>0</v>
      </c>
    </row>
    <row r="215" spans="2:20" x14ac:dyDescent="0.25">
      <c r="B215" s="99">
        <v>211</v>
      </c>
      <c r="C215" s="100" t="s">
        <v>392</v>
      </c>
      <c r="D215" s="100">
        <v>6</v>
      </c>
      <c r="E215" s="100" t="s">
        <v>423</v>
      </c>
      <c r="F215" s="101">
        <v>21.6</v>
      </c>
      <c r="G215" s="101">
        <v>12960</v>
      </c>
      <c r="H215" s="100" t="s">
        <v>446</v>
      </c>
      <c r="I215" s="101">
        <v>8.9</v>
      </c>
      <c r="J215" s="101">
        <v>5344.02</v>
      </c>
      <c r="K215" s="100" t="s">
        <v>399</v>
      </c>
      <c r="L215" s="100">
        <v>7611.96</v>
      </c>
      <c r="M215" s="102">
        <v>6.3899999999999998E-2</v>
      </c>
      <c r="N215" s="100"/>
      <c r="O215" s="101">
        <f t="shared" si="19"/>
        <v>7615.98</v>
      </c>
      <c r="P215" s="101">
        <f t="shared" si="20"/>
        <v>12955.980000000001</v>
      </c>
      <c r="Q215" s="101">
        <f t="shared" si="18"/>
        <v>5344.0200000000013</v>
      </c>
      <c r="R215" s="101">
        <f t="shared" si="21"/>
        <v>7611.96</v>
      </c>
      <c r="S215" s="101">
        <f t="shared" si="22"/>
        <v>0</v>
      </c>
      <c r="T215" s="103">
        <f t="shared" si="23"/>
        <v>0</v>
      </c>
    </row>
    <row r="216" spans="2:20" x14ac:dyDescent="0.25">
      <c r="B216" s="99">
        <v>212</v>
      </c>
      <c r="C216" s="100" t="s">
        <v>392</v>
      </c>
      <c r="D216" s="100">
        <v>8</v>
      </c>
      <c r="E216" s="100" t="s">
        <v>428</v>
      </c>
      <c r="F216" s="101">
        <v>18.100000000000001</v>
      </c>
      <c r="G216" s="101">
        <v>14480</v>
      </c>
      <c r="H216" s="100" t="s">
        <v>446</v>
      </c>
      <c r="I216" s="101">
        <v>7.7</v>
      </c>
      <c r="J216" s="101">
        <v>6165.36</v>
      </c>
      <c r="K216" s="100" t="s">
        <v>399</v>
      </c>
      <c r="L216" s="100">
        <v>8309.2800000000007</v>
      </c>
      <c r="M216" s="102">
        <v>5.8700000000000002E-2</v>
      </c>
      <c r="N216" s="100"/>
      <c r="O216" s="101">
        <f t="shared" si="19"/>
        <v>8314.64</v>
      </c>
      <c r="P216" s="101">
        <f t="shared" si="20"/>
        <v>14474.640000000001</v>
      </c>
      <c r="Q216" s="101">
        <f t="shared" si="18"/>
        <v>6165.36</v>
      </c>
      <c r="R216" s="101">
        <f t="shared" si="21"/>
        <v>8309.2800000000025</v>
      </c>
      <c r="S216" s="101">
        <f t="shared" si="22"/>
        <v>0</v>
      </c>
      <c r="T216" s="103">
        <f t="shared" si="23"/>
        <v>0</v>
      </c>
    </row>
    <row r="217" spans="2:20" x14ac:dyDescent="0.25">
      <c r="B217" s="99">
        <v>213</v>
      </c>
      <c r="C217" s="100" t="s">
        <v>392</v>
      </c>
      <c r="D217" s="100">
        <v>6</v>
      </c>
      <c r="E217" s="100" t="s">
        <v>449</v>
      </c>
      <c r="F217" s="101">
        <v>23.8</v>
      </c>
      <c r="G217" s="101">
        <v>14280</v>
      </c>
      <c r="H217" s="100" t="s">
        <v>450</v>
      </c>
      <c r="I217" s="101">
        <v>11.9</v>
      </c>
      <c r="J217" s="101">
        <v>7144.02</v>
      </c>
      <c r="K217" s="100" t="s">
        <v>399</v>
      </c>
      <c r="L217" s="100">
        <v>7131.96</v>
      </c>
      <c r="M217" s="102">
        <v>6.3799999999999996E-2</v>
      </c>
      <c r="N217" s="100"/>
      <c r="O217" s="101">
        <f t="shared" si="19"/>
        <v>7135.98</v>
      </c>
      <c r="P217" s="101">
        <f t="shared" si="20"/>
        <v>14275.980000000001</v>
      </c>
      <c r="Q217" s="101">
        <f t="shared" ref="Q217:Q280" si="24">I217*D217*100 + D217*0.67</f>
        <v>7144.0200000000013</v>
      </c>
      <c r="R217" s="101">
        <f t="shared" si="21"/>
        <v>7131.96</v>
      </c>
      <c r="S217" s="101">
        <f t="shared" si="22"/>
        <v>0</v>
      </c>
      <c r="T217" s="103">
        <f t="shared" si="23"/>
        <v>0</v>
      </c>
    </row>
    <row r="218" spans="2:20" x14ac:dyDescent="0.25">
      <c r="B218" s="99">
        <v>214</v>
      </c>
      <c r="C218" s="100" t="s">
        <v>440</v>
      </c>
      <c r="D218" s="100">
        <v>7</v>
      </c>
      <c r="E218" s="100" t="s">
        <v>446</v>
      </c>
      <c r="F218" s="101">
        <v>22.5</v>
      </c>
      <c r="G218" s="101">
        <v>15750</v>
      </c>
      <c r="H218" s="100" t="s">
        <v>451</v>
      </c>
      <c r="I218" s="101">
        <v>4.7</v>
      </c>
      <c r="J218" s="101">
        <v>3294.69</v>
      </c>
      <c r="K218" s="100" t="s">
        <v>399</v>
      </c>
      <c r="L218" s="100">
        <v>12450.62</v>
      </c>
      <c r="M218" s="102">
        <v>0.17349999999999999</v>
      </c>
      <c r="N218" s="100"/>
      <c r="O218" s="101">
        <f t="shared" si="19"/>
        <v>12455.31</v>
      </c>
      <c r="P218" s="101">
        <f t="shared" si="20"/>
        <v>15745.31</v>
      </c>
      <c r="Q218" s="101">
        <f t="shared" si="24"/>
        <v>3294.69</v>
      </c>
      <c r="R218" s="101">
        <f t="shared" si="21"/>
        <v>12450.619999999999</v>
      </c>
      <c r="S218" s="101">
        <f t="shared" si="22"/>
        <v>0</v>
      </c>
      <c r="T218" s="103">
        <f t="shared" si="23"/>
        <v>0</v>
      </c>
    </row>
    <row r="219" spans="2:20" x14ac:dyDescent="0.25">
      <c r="B219" s="99">
        <v>215</v>
      </c>
      <c r="C219" s="100" t="s">
        <v>440</v>
      </c>
      <c r="D219" s="100">
        <v>9</v>
      </c>
      <c r="E219" s="100" t="s">
        <v>450</v>
      </c>
      <c r="F219" s="101">
        <v>17.8</v>
      </c>
      <c r="G219" s="101">
        <v>16020</v>
      </c>
      <c r="H219" s="100" t="s">
        <v>451</v>
      </c>
      <c r="I219" s="101">
        <v>4.0999999999999996</v>
      </c>
      <c r="J219" s="101">
        <v>3696.03</v>
      </c>
      <c r="K219" s="100" t="s">
        <v>399</v>
      </c>
      <c r="L219" s="100">
        <v>12317.94</v>
      </c>
      <c r="M219" s="102">
        <v>0.13389999999999999</v>
      </c>
      <c r="N219" s="100"/>
      <c r="O219" s="101">
        <f t="shared" si="19"/>
        <v>12323.97</v>
      </c>
      <c r="P219" s="101">
        <f t="shared" si="20"/>
        <v>16013.970000000001</v>
      </c>
      <c r="Q219" s="101">
        <f t="shared" si="24"/>
        <v>3696.03</v>
      </c>
      <c r="R219" s="101">
        <f t="shared" si="21"/>
        <v>12317.94</v>
      </c>
      <c r="S219" s="101">
        <f t="shared" si="22"/>
        <v>0</v>
      </c>
      <c r="T219" s="103">
        <f t="shared" si="23"/>
        <v>0</v>
      </c>
    </row>
    <row r="220" spans="2:20" x14ac:dyDescent="0.25">
      <c r="B220" s="99">
        <v>216</v>
      </c>
      <c r="C220" s="100" t="s">
        <v>440</v>
      </c>
      <c r="D220" s="100">
        <v>12</v>
      </c>
      <c r="E220" s="100" t="s">
        <v>452</v>
      </c>
      <c r="F220" s="101">
        <v>13.35</v>
      </c>
      <c r="G220" s="101">
        <v>16020</v>
      </c>
      <c r="H220" s="100" t="s">
        <v>451</v>
      </c>
      <c r="I220" s="101">
        <v>3.6</v>
      </c>
      <c r="J220" s="101">
        <v>4328.04</v>
      </c>
      <c r="K220" s="100" t="s">
        <v>399</v>
      </c>
      <c r="L220" s="100">
        <v>11683.92</v>
      </c>
      <c r="M220" s="102">
        <v>9.5799999999999996E-2</v>
      </c>
      <c r="N220" s="100"/>
      <c r="O220" s="101">
        <f t="shared" si="19"/>
        <v>11691.96</v>
      </c>
      <c r="P220" s="101">
        <f t="shared" si="20"/>
        <v>16011.959999999997</v>
      </c>
      <c r="Q220" s="101">
        <f t="shared" si="24"/>
        <v>4328.04</v>
      </c>
      <c r="R220" s="101">
        <f t="shared" si="21"/>
        <v>11683.919999999998</v>
      </c>
      <c r="S220" s="101">
        <f t="shared" si="22"/>
        <v>0</v>
      </c>
      <c r="T220" s="103">
        <f t="shared" si="23"/>
        <v>0</v>
      </c>
    </row>
    <row r="221" spans="2:20" x14ac:dyDescent="0.25">
      <c r="B221" s="99">
        <v>217</v>
      </c>
      <c r="C221" s="100" t="s">
        <v>453</v>
      </c>
      <c r="D221" s="100">
        <v>27</v>
      </c>
      <c r="E221" s="100" t="s">
        <v>454</v>
      </c>
      <c r="F221" s="101">
        <v>5.3</v>
      </c>
      <c r="G221" s="101">
        <v>14310</v>
      </c>
      <c r="H221" s="100" t="s">
        <v>455</v>
      </c>
      <c r="I221" s="101">
        <v>2.64</v>
      </c>
      <c r="J221" s="101">
        <v>7146.09</v>
      </c>
      <c r="K221" s="100" t="s">
        <v>399</v>
      </c>
      <c r="L221" s="100">
        <v>7145.82</v>
      </c>
      <c r="M221" s="102">
        <v>5.33E-2</v>
      </c>
      <c r="N221" s="100"/>
      <c r="O221" s="101">
        <f t="shared" si="19"/>
        <v>7163.91</v>
      </c>
      <c r="P221" s="101">
        <f t="shared" si="20"/>
        <v>14291.91</v>
      </c>
      <c r="Q221" s="101">
        <f t="shared" si="24"/>
        <v>7146.09</v>
      </c>
      <c r="R221" s="101">
        <f t="shared" si="21"/>
        <v>7145.82</v>
      </c>
      <c r="S221" s="101">
        <f t="shared" si="22"/>
        <v>0</v>
      </c>
      <c r="T221" s="103">
        <f t="shared" si="23"/>
        <v>0</v>
      </c>
    </row>
    <row r="222" spans="2:20" x14ac:dyDescent="0.25">
      <c r="B222" s="99">
        <v>218</v>
      </c>
      <c r="C222" s="100" t="s">
        <v>396</v>
      </c>
      <c r="D222" s="100">
        <v>34</v>
      </c>
      <c r="E222" s="100" t="s">
        <v>456</v>
      </c>
      <c r="F222" s="101">
        <v>4.3</v>
      </c>
      <c r="G222" s="101">
        <v>14620</v>
      </c>
      <c r="H222" s="100" t="s">
        <v>457</v>
      </c>
      <c r="I222" s="101">
        <v>2.02</v>
      </c>
      <c r="J222" s="101">
        <v>6890.78</v>
      </c>
      <c r="K222" s="100" t="s">
        <v>399</v>
      </c>
      <c r="L222" s="100">
        <v>7706.44</v>
      </c>
      <c r="M222" s="102">
        <v>6.3500000000000001E-2</v>
      </c>
      <c r="N222" s="100"/>
      <c r="O222" s="101">
        <f t="shared" si="19"/>
        <v>7729.22</v>
      </c>
      <c r="P222" s="101">
        <f t="shared" si="20"/>
        <v>14597.219999999998</v>
      </c>
      <c r="Q222" s="101">
        <f t="shared" si="24"/>
        <v>6890.7800000000007</v>
      </c>
      <c r="R222" s="101">
        <f t="shared" si="21"/>
        <v>7706.4399999999969</v>
      </c>
      <c r="S222" s="101">
        <f t="shared" si="22"/>
        <v>0</v>
      </c>
      <c r="T222" s="103">
        <f t="shared" si="23"/>
        <v>0</v>
      </c>
    </row>
    <row r="223" spans="2:20" x14ac:dyDescent="0.25">
      <c r="B223" s="99">
        <v>219</v>
      </c>
      <c r="C223" s="100" t="s">
        <v>458</v>
      </c>
      <c r="D223" s="100">
        <v>21</v>
      </c>
      <c r="E223" s="100" t="s">
        <v>459</v>
      </c>
      <c r="F223" s="101">
        <v>6.5</v>
      </c>
      <c r="G223" s="101">
        <v>13650</v>
      </c>
      <c r="H223" s="100" t="s">
        <v>460</v>
      </c>
      <c r="I223" s="101">
        <v>3.1</v>
      </c>
      <c r="J223" s="101">
        <v>6524.07</v>
      </c>
      <c r="K223" s="100" t="s">
        <v>399</v>
      </c>
      <c r="L223" s="100">
        <v>7111.86</v>
      </c>
      <c r="M223" s="102">
        <v>4.9399999999999999E-2</v>
      </c>
      <c r="N223" s="100"/>
      <c r="O223" s="101">
        <f t="shared" si="19"/>
        <v>7125.93</v>
      </c>
      <c r="P223" s="101">
        <f t="shared" si="20"/>
        <v>13635.93</v>
      </c>
      <c r="Q223" s="101">
        <f t="shared" si="24"/>
        <v>6524.0700000000006</v>
      </c>
      <c r="R223" s="101">
        <f t="shared" si="21"/>
        <v>7111.86</v>
      </c>
      <c r="S223" s="101">
        <f t="shared" si="22"/>
        <v>0</v>
      </c>
      <c r="T223" s="103">
        <f t="shared" si="23"/>
        <v>0</v>
      </c>
    </row>
    <row r="224" spans="2:20" x14ac:dyDescent="0.25">
      <c r="B224" s="99">
        <v>220</v>
      </c>
      <c r="C224" s="100" t="s">
        <v>461</v>
      </c>
      <c r="D224" s="100">
        <v>7</v>
      </c>
      <c r="E224" s="100" t="s">
        <v>462</v>
      </c>
      <c r="F224" s="101">
        <v>20.7</v>
      </c>
      <c r="G224" s="101">
        <v>14490</v>
      </c>
      <c r="H224" s="100" t="s">
        <v>463</v>
      </c>
      <c r="I224" s="101">
        <v>10.3</v>
      </c>
      <c r="J224" s="101">
        <v>7214.69</v>
      </c>
      <c r="K224" s="100" t="s">
        <v>399</v>
      </c>
      <c r="L224" s="100">
        <v>7270.62</v>
      </c>
      <c r="M224" s="102">
        <v>5.79E-2</v>
      </c>
      <c r="N224" s="100"/>
      <c r="O224" s="101">
        <f t="shared" si="19"/>
        <v>7275.31</v>
      </c>
      <c r="P224" s="101">
        <f t="shared" si="20"/>
        <v>14485.31</v>
      </c>
      <c r="Q224" s="101">
        <f t="shared" si="24"/>
        <v>7214.6900000000005</v>
      </c>
      <c r="R224" s="101">
        <f t="shared" si="21"/>
        <v>7270.619999999999</v>
      </c>
      <c r="S224" s="101">
        <f t="shared" si="22"/>
        <v>0</v>
      </c>
      <c r="T224" s="103">
        <f t="shared" si="23"/>
        <v>0</v>
      </c>
    </row>
    <row r="225" spans="2:20" x14ac:dyDescent="0.25">
      <c r="B225" s="99">
        <v>221</v>
      </c>
      <c r="C225" s="100" t="s">
        <v>396</v>
      </c>
      <c r="D225" s="100">
        <v>34</v>
      </c>
      <c r="E225" s="100" t="s">
        <v>466</v>
      </c>
      <c r="F225" s="101">
        <v>4.4000000000000004</v>
      </c>
      <c r="G225" s="101">
        <v>14960</v>
      </c>
      <c r="H225" s="100" t="s">
        <v>467</v>
      </c>
      <c r="I225" s="101">
        <v>2.13</v>
      </c>
      <c r="J225" s="101">
        <v>7264.78</v>
      </c>
      <c r="K225" s="100" t="s">
        <v>399</v>
      </c>
      <c r="L225" s="100">
        <v>7672.44</v>
      </c>
      <c r="M225" s="102">
        <v>0.06</v>
      </c>
      <c r="N225" s="100"/>
      <c r="O225" s="101">
        <f t="shared" si="19"/>
        <v>7695.22</v>
      </c>
      <c r="P225" s="101">
        <f t="shared" si="20"/>
        <v>14937.220000000001</v>
      </c>
      <c r="Q225" s="101">
        <f t="shared" si="24"/>
        <v>7264.78</v>
      </c>
      <c r="R225" s="101">
        <f t="shared" si="21"/>
        <v>7672.4400000000014</v>
      </c>
      <c r="S225" s="101">
        <f t="shared" si="22"/>
        <v>0</v>
      </c>
      <c r="T225" s="103">
        <f t="shared" si="23"/>
        <v>0</v>
      </c>
    </row>
    <row r="226" spans="2:20" x14ac:dyDescent="0.25">
      <c r="B226" s="99">
        <v>222</v>
      </c>
      <c r="C226" s="100" t="s">
        <v>468</v>
      </c>
      <c r="D226" s="100">
        <v>14</v>
      </c>
      <c r="E226" s="100" t="s">
        <v>434</v>
      </c>
      <c r="F226" s="101">
        <v>11</v>
      </c>
      <c r="G226" s="101">
        <v>15400</v>
      </c>
      <c r="H226" s="100" t="s">
        <v>469</v>
      </c>
      <c r="I226" s="101">
        <v>5.5</v>
      </c>
      <c r="J226" s="101">
        <v>7709.38</v>
      </c>
      <c r="K226" s="100" t="s">
        <v>399</v>
      </c>
      <c r="L226" s="100">
        <v>7681.24</v>
      </c>
      <c r="M226" s="102">
        <v>5.28E-2</v>
      </c>
      <c r="N226" s="100"/>
      <c r="O226" s="101">
        <f t="shared" si="19"/>
        <v>7690.62</v>
      </c>
      <c r="P226" s="101">
        <f t="shared" si="20"/>
        <v>15390.62</v>
      </c>
      <c r="Q226" s="101">
        <f t="shared" si="24"/>
        <v>7709.38</v>
      </c>
      <c r="R226" s="101">
        <f t="shared" si="21"/>
        <v>7681.2400000000007</v>
      </c>
      <c r="S226" s="101">
        <f t="shared" si="22"/>
        <v>0</v>
      </c>
      <c r="T226" s="103">
        <f t="shared" si="23"/>
        <v>0</v>
      </c>
    </row>
    <row r="227" spans="2:20" x14ac:dyDescent="0.25">
      <c r="B227" s="99">
        <v>223</v>
      </c>
      <c r="C227" s="100" t="s">
        <v>418</v>
      </c>
      <c r="D227" s="100">
        <v>25</v>
      </c>
      <c r="E227" s="100" t="s">
        <v>470</v>
      </c>
      <c r="F227" s="101">
        <v>5.6</v>
      </c>
      <c r="G227" s="101">
        <v>14000</v>
      </c>
      <c r="H227" s="100" t="s">
        <v>471</v>
      </c>
      <c r="I227" s="101">
        <v>2.71</v>
      </c>
      <c r="J227" s="101">
        <v>6791.75</v>
      </c>
      <c r="K227" s="100" t="s">
        <v>399</v>
      </c>
      <c r="L227" s="100">
        <v>7191.5</v>
      </c>
      <c r="M227" s="102">
        <v>6.13E-2</v>
      </c>
      <c r="N227" s="100"/>
      <c r="O227" s="101">
        <f t="shared" si="19"/>
        <v>7208.25</v>
      </c>
      <c r="P227" s="101">
        <f t="shared" si="20"/>
        <v>13983.25</v>
      </c>
      <c r="Q227" s="101">
        <f t="shared" si="24"/>
        <v>6791.75</v>
      </c>
      <c r="R227" s="101">
        <f t="shared" si="21"/>
        <v>7191.5</v>
      </c>
      <c r="S227" s="101">
        <f t="shared" si="22"/>
        <v>0</v>
      </c>
      <c r="T227" s="103">
        <f t="shared" si="23"/>
        <v>0</v>
      </c>
    </row>
    <row r="228" spans="2:20" x14ac:dyDescent="0.25">
      <c r="B228" s="99">
        <v>224</v>
      </c>
      <c r="C228" s="100" t="s">
        <v>396</v>
      </c>
      <c r="D228" s="100">
        <v>36</v>
      </c>
      <c r="E228" s="100" t="s">
        <v>472</v>
      </c>
      <c r="F228" s="101">
        <v>4.5999999999999996</v>
      </c>
      <c r="G228" s="101">
        <v>16560</v>
      </c>
      <c r="H228" s="100" t="s">
        <v>473</v>
      </c>
      <c r="I228" s="101">
        <v>2.27</v>
      </c>
      <c r="J228" s="101">
        <v>8196.1200000000008</v>
      </c>
      <c r="K228" s="100" t="s">
        <v>399</v>
      </c>
      <c r="L228" s="100">
        <v>8339.76</v>
      </c>
      <c r="M228" s="102">
        <v>6.0299999999999999E-2</v>
      </c>
      <c r="N228" s="100"/>
      <c r="O228" s="101">
        <f t="shared" si="19"/>
        <v>8363.8799999999992</v>
      </c>
      <c r="P228" s="101">
        <f t="shared" si="20"/>
        <v>16535.88</v>
      </c>
      <c r="Q228" s="101">
        <f t="shared" si="24"/>
        <v>8196.1200000000008</v>
      </c>
      <c r="R228" s="101">
        <f t="shared" si="21"/>
        <v>8339.76</v>
      </c>
      <c r="S228" s="101">
        <f t="shared" si="22"/>
        <v>0</v>
      </c>
      <c r="T228" s="103">
        <f t="shared" si="23"/>
        <v>0</v>
      </c>
    </row>
    <row r="229" spans="2:20" x14ac:dyDescent="0.25">
      <c r="B229" s="99">
        <v>225</v>
      </c>
      <c r="C229" s="100" t="s">
        <v>396</v>
      </c>
      <c r="D229" s="100">
        <v>45</v>
      </c>
      <c r="E229" s="100" t="s">
        <v>474</v>
      </c>
      <c r="F229" s="101">
        <v>3.75</v>
      </c>
      <c r="G229" s="101">
        <v>16875</v>
      </c>
      <c r="H229" s="100" t="s">
        <v>473</v>
      </c>
      <c r="I229" s="101">
        <v>1.74</v>
      </c>
      <c r="J229" s="101">
        <v>7860.15</v>
      </c>
      <c r="K229" s="100" t="s">
        <v>399</v>
      </c>
      <c r="L229" s="100">
        <v>8984.7000000000007</v>
      </c>
      <c r="M229" s="102">
        <v>5.5100000000000003E-2</v>
      </c>
      <c r="N229" s="100"/>
      <c r="O229" s="101">
        <f t="shared" si="19"/>
        <v>9014.85</v>
      </c>
      <c r="P229" s="101">
        <f t="shared" si="20"/>
        <v>16844.849999999999</v>
      </c>
      <c r="Q229" s="101">
        <f t="shared" si="24"/>
        <v>7860.15</v>
      </c>
      <c r="R229" s="101">
        <f t="shared" si="21"/>
        <v>8984.6999999999989</v>
      </c>
      <c r="S229" s="101">
        <f t="shared" si="22"/>
        <v>0</v>
      </c>
      <c r="T229" s="103">
        <f t="shared" si="23"/>
        <v>0</v>
      </c>
    </row>
    <row r="230" spans="2:20" x14ac:dyDescent="0.25">
      <c r="B230" s="99">
        <v>226</v>
      </c>
      <c r="C230" s="100" t="s">
        <v>396</v>
      </c>
      <c r="D230" s="100">
        <v>45</v>
      </c>
      <c r="E230" s="100" t="s">
        <v>475</v>
      </c>
      <c r="F230" s="101">
        <v>3.85</v>
      </c>
      <c r="G230" s="101">
        <v>17325</v>
      </c>
      <c r="H230" s="100" t="s">
        <v>473</v>
      </c>
      <c r="I230" s="101">
        <v>1.75</v>
      </c>
      <c r="J230" s="101">
        <v>7905.15</v>
      </c>
      <c r="K230" s="100" t="s">
        <v>399</v>
      </c>
      <c r="L230" s="100">
        <v>9389.7000000000007</v>
      </c>
      <c r="M230" s="102">
        <v>5.0700000000000002E-2</v>
      </c>
      <c r="N230" s="100"/>
      <c r="O230" s="101">
        <f t="shared" si="19"/>
        <v>9419.85</v>
      </c>
      <c r="P230" s="101">
        <f t="shared" si="20"/>
        <v>17294.849999999999</v>
      </c>
      <c r="Q230" s="101">
        <f t="shared" si="24"/>
        <v>7905.15</v>
      </c>
      <c r="R230" s="101">
        <f t="shared" si="21"/>
        <v>9389.6999999999989</v>
      </c>
      <c r="S230" s="101">
        <f t="shared" si="22"/>
        <v>0</v>
      </c>
      <c r="T230" s="103">
        <f t="shared" si="23"/>
        <v>0</v>
      </c>
    </row>
    <row r="231" spans="2:20" x14ac:dyDescent="0.25">
      <c r="B231" s="99">
        <v>227</v>
      </c>
      <c r="C231" s="100" t="s">
        <v>461</v>
      </c>
      <c r="D231" s="100">
        <v>8</v>
      </c>
      <c r="E231" s="100" t="s">
        <v>476</v>
      </c>
      <c r="F231" s="101">
        <v>18.7</v>
      </c>
      <c r="G231" s="101">
        <v>14960</v>
      </c>
      <c r="H231" s="100" t="s">
        <v>477</v>
      </c>
      <c r="I231" s="101">
        <v>8.3000000000000007</v>
      </c>
      <c r="J231" s="101">
        <v>6645.36</v>
      </c>
      <c r="K231" s="100" t="s">
        <v>399</v>
      </c>
      <c r="L231" s="100">
        <v>8309.2800000000007</v>
      </c>
      <c r="M231" s="102">
        <v>5.8900000000000001E-2</v>
      </c>
      <c r="N231" s="100"/>
      <c r="O231" s="101">
        <f t="shared" si="19"/>
        <v>8314.64</v>
      </c>
      <c r="P231" s="101">
        <f t="shared" si="20"/>
        <v>14954.64</v>
      </c>
      <c r="Q231" s="101">
        <f t="shared" si="24"/>
        <v>6645.3600000000006</v>
      </c>
      <c r="R231" s="101">
        <f t="shared" si="21"/>
        <v>8309.2799999999988</v>
      </c>
      <c r="S231" s="101">
        <f t="shared" si="22"/>
        <v>0</v>
      </c>
      <c r="T231" s="103">
        <f t="shared" si="23"/>
        <v>0</v>
      </c>
    </row>
    <row r="232" spans="2:20" x14ac:dyDescent="0.25">
      <c r="B232" s="99">
        <v>228</v>
      </c>
      <c r="C232" s="100" t="s">
        <v>461</v>
      </c>
      <c r="D232" s="100">
        <v>7</v>
      </c>
      <c r="E232" s="100" t="s">
        <v>478</v>
      </c>
      <c r="F232" s="101">
        <v>20</v>
      </c>
      <c r="G232" s="101">
        <v>14000</v>
      </c>
      <c r="H232" s="100" t="s">
        <v>477</v>
      </c>
      <c r="I232" s="101">
        <v>10</v>
      </c>
      <c r="J232" s="101">
        <v>7004.69</v>
      </c>
      <c r="K232" s="100" t="s">
        <v>399</v>
      </c>
      <c r="L232" s="100">
        <v>6990.62</v>
      </c>
      <c r="M232" s="102">
        <v>5.2600000000000001E-2</v>
      </c>
      <c r="N232" s="100"/>
      <c r="O232" s="101">
        <f t="shared" si="19"/>
        <v>6995.31</v>
      </c>
      <c r="P232" s="101">
        <f t="shared" si="20"/>
        <v>13995.31</v>
      </c>
      <c r="Q232" s="101">
        <f t="shared" si="24"/>
        <v>7004.69</v>
      </c>
      <c r="R232" s="101">
        <f t="shared" si="21"/>
        <v>6990.62</v>
      </c>
      <c r="S232" s="101">
        <f t="shared" si="22"/>
        <v>0</v>
      </c>
      <c r="T232" s="103">
        <f t="shared" si="23"/>
        <v>0</v>
      </c>
    </row>
    <row r="233" spans="2:20" x14ac:dyDescent="0.25">
      <c r="B233" s="99">
        <v>229</v>
      </c>
      <c r="C233" s="100" t="s">
        <v>479</v>
      </c>
      <c r="D233" s="100">
        <v>41</v>
      </c>
      <c r="E233" s="100" t="s">
        <v>480</v>
      </c>
      <c r="F233" s="101">
        <v>4</v>
      </c>
      <c r="G233" s="101">
        <v>16400</v>
      </c>
      <c r="H233" s="100" t="s">
        <v>477</v>
      </c>
      <c r="I233" s="101">
        <v>2</v>
      </c>
      <c r="J233" s="101">
        <v>8227.4699999999993</v>
      </c>
      <c r="K233" s="100" t="s">
        <v>399</v>
      </c>
      <c r="L233" s="100">
        <v>8145.06</v>
      </c>
      <c r="M233" s="102">
        <v>4.8500000000000001E-2</v>
      </c>
      <c r="N233" s="100"/>
      <c r="O233" s="101">
        <f t="shared" si="19"/>
        <v>8172.5300000000007</v>
      </c>
      <c r="P233" s="101">
        <f t="shared" si="20"/>
        <v>16372.53</v>
      </c>
      <c r="Q233" s="101">
        <f t="shared" si="24"/>
        <v>8227.4699999999993</v>
      </c>
      <c r="R233" s="101">
        <f t="shared" si="21"/>
        <v>8145.0600000000013</v>
      </c>
      <c r="S233" s="101">
        <f t="shared" si="22"/>
        <v>0</v>
      </c>
      <c r="T233" s="103">
        <f t="shared" si="23"/>
        <v>0</v>
      </c>
    </row>
    <row r="234" spans="2:20" x14ac:dyDescent="0.25">
      <c r="B234" s="99">
        <v>230</v>
      </c>
      <c r="C234" s="100" t="s">
        <v>396</v>
      </c>
      <c r="D234" s="100">
        <v>43</v>
      </c>
      <c r="E234" s="100" t="s">
        <v>457</v>
      </c>
      <c r="F234" s="101">
        <v>4.0999999999999996</v>
      </c>
      <c r="G234" s="101">
        <v>17630</v>
      </c>
      <c r="H234" s="100" t="s">
        <v>481</v>
      </c>
      <c r="I234" s="101">
        <v>1.87</v>
      </c>
      <c r="J234" s="101">
        <v>8069.81</v>
      </c>
      <c r="K234" s="100" t="s">
        <v>399</v>
      </c>
      <c r="L234" s="100">
        <v>9531.3799999999992</v>
      </c>
      <c r="M234" s="102">
        <v>5.4199999999999998E-2</v>
      </c>
      <c r="N234" s="100"/>
      <c r="O234" s="101">
        <f t="shared" si="19"/>
        <v>9560.1899999999987</v>
      </c>
      <c r="P234" s="101">
        <f t="shared" si="20"/>
        <v>17601.189999999999</v>
      </c>
      <c r="Q234" s="101">
        <f t="shared" si="24"/>
        <v>8069.8100000000013</v>
      </c>
      <c r="R234" s="101">
        <f t="shared" si="21"/>
        <v>9531.3799999999974</v>
      </c>
      <c r="S234" s="101">
        <f t="shared" si="22"/>
        <v>0</v>
      </c>
      <c r="T234" s="103">
        <f t="shared" si="23"/>
        <v>0</v>
      </c>
    </row>
    <row r="235" spans="2:20" x14ac:dyDescent="0.25">
      <c r="B235" s="99">
        <v>231</v>
      </c>
      <c r="C235" s="100" t="s">
        <v>482</v>
      </c>
      <c r="D235" s="100">
        <v>20</v>
      </c>
      <c r="E235" s="100" t="s">
        <v>426</v>
      </c>
      <c r="F235" s="101">
        <v>7.3</v>
      </c>
      <c r="G235" s="101">
        <v>14600</v>
      </c>
      <c r="H235" s="100" t="s">
        <v>483</v>
      </c>
      <c r="I235" s="101">
        <v>2.85</v>
      </c>
      <c r="J235" s="101">
        <v>5713.4</v>
      </c>
      <c r="K235" s="100" t="s">
        <v>399</v>
      </c>
      <c r="L235" s="100">
        <v>8873.2000000000007</v>
      </c>
      <c r="M235" s="102">
        <v>5.8999999999999997E-2</v>
      </c>
      <c r="N235" s="100"/>
      <c r="O235" s="101">
        <f t="shared" si="19"/>
        <v>8886.6</v>
      </c>
      <c r="P235" s="101">
        <f t="shared" si="20"/>
        <v>14586.6</v>
      </c>
      <c r="Q235" s="101">
        <f t="shared" si="24"/>
        <v>5713.4</v>
      </c>
      <c r="R235" s="101">
        <f t="shared" si="21"/>
        <v>8873.2000000000007</v>
      </c>
      <c r="S235" s="101">
        <f t="shared" si="22"/>
        <v>0</v>
      </c>
      <c r="T235" s="103">
        <f t="shared" si="23"/>
        <v>0</v>
      </c>
    </row>
    <row r="236" spans="2:20" x14ac:dyDescent="0.25">
      <c r="B236" s="99">
        <v>232</v>
      </c>
      <c r="C236" s="100" t="s">
        <v>482</v>
      </c>
      <c r="D236" s="100">
        <v>19</v>
      </c>
      <c r="E236" s="100" t="s">
        <v>484</v>
      </c>
      <c r="F236" s="101">
        <v>7.8</v>
      </c>
      <c r="G236" s="101">
        <v>14820</v>
      </c>
      <c r="H236" s="100" t="s">
        <v>483</v>
      </c>
      <c r="I236" s="101">
        <v>3.1</v>
      </c>
      <c r="J236" s="101">
        <v>5902.73</v>
      </c>
      <c r="K236" s="100" t="s">
        <v>399</v>
      </c>
      <c r="L236" s="100">
        <v>8904.5400000000009</v>
      </c>
      <c r="M236" s="102">
        <v>6.0699999999999997E-2</v>
      </c>
      <c r="N236" s="100"/>
      <c r="O236" s="101">
        <f t="shared" si="19"/>
        <v>8917.27</v>
      </c>
      <c r="P236" s="101">
        <f t="shared" si="20"/>
        <v>14807.269999999999</v>
      </c>
      <c r="Q236" s="101">
        <f t="shared" si="24"/>
        <v>5902.73</v>
      </c>
      <c r="R236" s="101">
        <f t="shared" si="21"/>
        <v>8904.5399999999991</v>
      </c>
      <c r="S236" s="101">
        <f t="shared" si="22"/>
        <v>0</v>
      </c>
      <c r="T236" s="103">
        <f t="shared" si="23"/>
        <v>0</v>
      </c>
    </row>
    <row r="237" spans="2:20" x14ac:dyDescent="0.25">
      <c r="B237" s="99">
        <v>233</v>
      </c>
      <c r="C237" s="100" t="s">
        <v>396</v>
      </c>
      <c r="D237" s="100">
        <v>46</v>
      </c>
      <c r="E237" s="100" t="s">
        <v>471</v>
      </c>
      <c r="F237" s="101">
        <v>4.1500000000000004</v>
      </c>
      <c r="G237" s="101">
        <v>19090</v>
      </c>
      <c r="H237" s="100" t="s">
        <v>483</v>
      </c>
      <c r="I237" s="101">
        <v>2.0299999999999998</v>
      </c>
      <c r="J237" s="101">
        <v>9368.82</v>
      </c>
      <c r="K237" s="100" t="s">
        <v>399</v>
      </c>
      <c r="L237" s="100">
        <v>9690.36</v>
      </c>
      <c r="M237" s="102">
        <v>4.9200000000000001E-2</v>
      </c>
      <c r="N237" s="100"/>
      <c r="O237" s="101">
        <f t="shared" si="19"/>
        <v>9721.18</v>
      </c>
      <c r="P237" s="101">
        <f t="shared" si="20"/>
        <v>19059.18</v>
      </c>
      <c r="Q237" s="101">
        <f t="shared" si="24"/>
        <v>9368.82</v>
      </c>
      <c r="R237" s="101">
        <f t="shared" si="21"/>
        <v>9690.36</v>
      </c>
      <c r="S237" s="101">
        <f t="shared" si="22"/>
        <v>0</v>
      </c>
      <c r="T237" s="103">
        <f t="shared" si="23"/>
        <v>0</v>
      </c>
    </row>
    <row r="238" spans="2:20" x14ac:dyDescent="0.25">
      <c r="B238" s="99">
        <v>234</v>
      </c>
      <c r="C238" s="100" t="s">
        <v>482</v>
      </c>
      <c r="D238" s="100">
        <v>20</v>
      </c>
      <c r="E238" s="100" t="s">
        <v>485</v>
      </c>
      <c r="F238" s="101">
        <v>7.9</v>
      </c>
      <c r="G238" s="101">
        <v>15800</v>
      </c>
      <c r="H238" s="100" t="s">
        <v>486</v>
      </c>
      <c r="I238" s="101">
        <v>3.6</v>
      </c>
      <c r="J238" s="101">
        <v>7213.4</v>
      </c>
      <c r="K238" s="100" t="s">
        <v>399</v>
      </c>
      <c r="L238" s="100">
        <v>8573.2000000000007</v>
      </c>
      <c r="M238" s="102">
        <v>5.0700000000000002E-2</v>
      </c>
      <c r="N238" s="100"/>
      <c r="O238" s="101">
        <f t="shared" si="19"/>
        <v>8586.6</v>
      </c>
      <c r="P238" s="101">
        <f t="shared" si="20"/>
        <v>15786.6</v>
      </c>
      <c r="Q238" s="101">
        <f t="shared" si="24"/>
        <v>7213.4</v>
      </c>
      <c r="R238" s="101">
        <f t="shared" si="21"/>
        <v>8573.2000000000007</v>
      </c>
      <c r="S238" s="101">
        <f t="shared" si="22"/>
        <v>0</v>
      </c>
      <c r="T238" s="103">
        <f t="shared" si="23"/>
        <v>0</v>
      </c>
    </row>
    <row r="239" spans="2:20" x14ac:dyDescent="0.25">
      <c r="B239" s="99">
        <v>235</v>
      </c>
      <c r="C239" s="100" t="s">
        <v>392</v>
      </c>
      <c r="D239" s="100">
        <v>6</v>
      </c>
      <c r="E239" s="100" t="s">
        <v>487</v>
      </c>
      <c r="F239" s="101">
        <v>24.1</v>
      </c>
      <c r="G239" s="101">
        <v>14460</v>
      </c>
      <c r="H239" s="100" t="s">
        <v>488</v>
      </c>
      <c r="I239" s="101">
        <v>11.7</v>
      </c>
      <c r="J239" s="101">
        <v>7024.02</v>
      </c>
      <c r="K239" s="100" t="s">
        <v>399</v>
      </c>
      <c r="L239" s="100">
        <v>7431.96</v>
      </c>
      <c r="M239" s="102">
        <v>6.3200000000000006E-2</v>
      </c>
      <c r="N239" s="100"/>
      <c r="O239" s="101">
        <f t="shared" si="19"/>
        <v>7435.98</v>
      </c>
      <c r="P239" s="101">
        <f t="shared" si="20"/>
        <v>14455.980000000001</v>
      </c>
      <c r="Q239" s="101">
        <f t="shared" si="24"/>
        <v>7024.0199999999995</v>
      </c>
      <c r="R239" s="101">
        <f t="shared" si="21"/>
        <v>7431.9600000000019</v>
      </c>
      <c r="S239" s="101">
        <f t="shared" si="22"/>
        <v>0</v>
      </c>
      <c r="T239" s="103">
        <f t="shared" si="23"/>
        <v>0</v>
      </c>
    </row>
    <row r="240" spans="2:20" x14ac:dyDescent="0.25">
      <c r="B240" s="99">
        <v>236</v>
      </c>
      <c r="C240" s="100" t="s">
        <v>468</v>
      </c>
      <c r="D240" s="100">
        <v>16</v>
      </c>
      <c r="E240" s="100" t="s">
        <v>439</v>
      </c>
      <c r="F240" s="101">
        <v>10.1</v>
      </c>
      <c r="G240" s="101">
        <v>16160</v>
      </c>
      <c r="H240" s="100" t="s">
        <v>488</v>
      </c>
      <c r="I240" s="101">
        <v>4.5999999999999996</v>
      </c>
      <c r="J240" s="101">
        <v>7370.72</v>
      </c>
      <c r="K240" s="100" t="s">
        <v>399</v>
      </c>
      <c r="L240" s="100">
        <v>8778.56</v>
      </c>
      <c r="M240" s="102">
        <v>4.99E-2</v>
      </c>
      <c r="N240" s="100"/>
      <c r="O240" s="101">
        <f t="shared" si="19"/>
        <v>8789.2799999999988</v>
      </c>
      <c r="P240" s="101">
        <f t="shared" si="20"/>
        <v>16149.28</v>
      </c>
      <c r="Q240" s="101">
        <f t="shared" si="24"/>
        <v>7370.7199999999993</v>
      </c>
      <c r="R240" s="101">
        <f t="shared" si="21"/>
        <v>8778.5600000000013</v>
      </c>
      <c r="S240" s="101">
        <f t="shared" si="22"/>
        <v>0</v>
      </c>
      <c r="T240" s="103">
        <f t="shared" si="23"/>
        <v>0</v>
      </c>
    </row>
    <row r="241" spans="2:20" x14ac:dyDescent="0.25">
      <c r="B241" s="99">
        <v>237</v>
      </c>
      <c r="C241" s="100" t="s">
        <v>482</v>
      </c>
      <c r="D241" s="100">
        <v>20</v>
      </c>
      <c r="E241" s="100" t="s">
        <v>489</v>
      </c>
      <c r="F241" s="101">
        <v>8.1999999999999993</v>
      </c>
      <c r="G241" s="101">
        <v>16400</v>
      </c>
      <c r="H241" s="100" t="s">
        <v>488</v>
      </c>
      <c r="I241" s="101">
        <v>4.0999999999999996</v>
      </c>
      <c r="J241" s="101">
        <v>8213.4</v>
      </c>
      <c r="K241" s="100" t="s">
        <v>399</v>
      </c>
      <c r="L241" s="100">
        <v>8173.2</v>
      </c>
      <c r="M241" s="102">
        <v>0.05</v>
      </c>
      <c r="N241" s="100"/>
      <c r="O241" s="101">
        <f t="shared" si="19"/>
        <v>8186.6</v>
      </c>
      <c r="P241" s="101">
        <f t="shared" si="20"/>
        <v>16386.599999999999</v>
      </c>
      <c r="Q241" s="101">
        <f t="shared" si="24"/>
        <v>8213.4</v>
      </c>
      <c r="R241" s="101">
        <f t="shared" si="21"/>
        <v>8173.1999999999989</v>
      </c>
      <c r="S241" s="101">
        <f t="shared" si="22"/>
        <v>0</v>
      </c>
      <c r="T241" s="103">
        <f t="shared" si="23"/>
        <v>0</v>
      </c>
    </row>
    <row r="242" spans="2:20" x14ac:dyDescent="0.25">
      <c r="B242" s="99">
        <v>238</v>
      </c>
      <c r="C242" s="100" t="s">
        <v>461</v>
      </c>
      <c r="D242" s="100">
        <v>7</v>
      </c>
      <c r="E242" s="100" t="s">
        <v>436</v>
      </c>
      <c r="F242" s="101">
        <v>21.9</v>
      </c>
      <c r="G242" s="101">
        <v>15330</v>
      </c>
      <c r="H242" s="100" t="s">
        <v>490</v>
      </c>
      <c r="I242" s="101">
        <v>10.8</v>
      </c>
      <c r="J242" s="101">
        <v>7564.69</v>
      </c>
      <c r="K242" s="100" t="s">
        <v>399</v>
      </c>
      <c r="L242" s="100">
        <v>7760.62</v>
      </c>
      <c r="M242" s="102">
        <v>5.6000000000000001E-2</v>
      </c>
      <c r="N242" s="100"/>
      <c r="O242" s="101">
        <f t="shared" si="19"/>
        <v>7765.31</v>
      </c>
      <c r="P242" s="101">
        <f t="shared" si="20"/>
        <v>15325.309999999998</v>
      </c>
      <c r="Q242" s="101">
        <f t="shared" si="24"/>
        <v>7564.6900000000005</v>
      </c>
      <c r="R242" s="101">
        <f t="shared" si="21"/>
        <v>7760.6199999999972</v>
      </c>
      <c r="S242" s="101">
        <f t="shared" si="22"/>
        <v>0</v>
      </c>
      <c r="T242" s="103">
        <f t="shared" si="23"/>
        <v>0</v>
      </c>
    </row>
    <row r="243" spans="2:20" x14ac:dyDescent="0.25">
      <c r="B243" s="99">
        <v>239</v>
      </c>
      <c r="C243" s="100" t="s">
        <v>418</v>
      </c>
      <c r="D243" s="100">
        <v>27</v>
      </c>
      <c r="E243" s="100" t="s">
        <v>491</v>
      </c>
      <c r="F243" s="101">
        <v>5.2</v>
      </c>
      <c r="G243" s="101">
        <v>14040</v>
      </c>
      <c r="H243" s="100" t="s">
        <v>492</v>
      </c>
      <c r="I243" s="101">
        <v>2.59</v>
      </c>
      <c r="J243" s="101">
        <v>7011.09</v>
      </c>
      <c r="K243" s="100" t="s">
        <v>399</v>
      </c>
      <c r="L243" s="100">
        <v>7010.82</v>
      </c>
      <c r="M243" s="102">
        <v>5.21E-2</v>
      </c>
      <c r="N243" s="100"/>
      <c r="O243" s="101">
        <f t="shared" si="19"/>
        <v>7028.91</v>
      </c>
      <c r="P243" s="101">
        <f t="shared" si="20"/>
        <v>14021.91</v>
      </c>
      <c r="Q243" s="101">
        <f t="shared" si="24"/>
        <v>7011.0899999999992</v>
      </c>
      <c r="R243" s="101">
        <f t="shared" si="21"/>
        <v>7010.8200000000006</v>
      </c>
      <c r="S243" s="101">
        <f t="shared" si="22"/>
        <v>0</v>
      </c>
      <c r="T243" s="103">
        <f t="shared" si="23"/>
        <v>0</v>
      </c>
    </row>
    <row r="244" spans="2:20" x14ac:dyDescent="0.25">
      <c r="B244" s="99">
        <v>240</v>
      </c>
      <c r="C244" s="100" t="s">
        <v>392</v>
      </c>
      <c r="D244" s="100">
        <v>6</v>
      </c>
      <c r="E244" s="100" t="s">
        <v>431</v>
      </c>
      <c r="F244" s="101">
        <v>23.4</v>
      </c>
      <c r="G244" s="101">
        <v>14040</v>
      </c>
      <c r="H244" s="100" t="s">
        <v>493</v>
      </c>
      <c r="I244" s="101">
        <v>11.5</v>
      </c>
      <c r="J244" s="101">
        <v>6904.02</v>
      </c>
      <c r="K244" s="100" t="s">
        <v>399</v>
      </c>
      <c r="L244" s="100">
        <v>7131.96</v>
      </c>
      <c r="M244" s="102">
        <v>5.7500000000000002E-2</v>
      </c>
      <c r="N244" s="100"/>
      <c r="O244" s="101">
        <f t="shared" si="19"/>
        <v>7135.98</v>
      </c>
      <c r="P244" s="101">
        <f t="shared" si="20"/>
        <v>14035.979999999998</v>
      </c>
      <c r="Q244" s="101">
        <f t="shared" si="24"/>
        <v>6904.02</v>
      </c>
      <c r="R244" s="101">
        <f t="shared" si="21"/>
        <v>7131.9599999999973</v>
      </c>
      <c r="S244" s="101">
        <f t="shared" si="22"/>
        <v>0</v>
      </c>
      <c r="T244" s="103">
        <f t="shared" si="23"/>
        <v>0</v>
      </c>
    </row>
    <row r="245" spans="2:20" x14ac:dyDescent="0.25">
      <c r="B245" s="99">
        <v>241</v>
      </c>
      <c r="C245" s="100" t="s">
        <v>392</v>
      </c>
      <c r="D245" s="100">
        <v>7</v>
      </c>
      <c r="E245" s="100" t="s">
        <v>494</v>
      </c>
      <c r="F245" s="101">
        <v>21</v>
      </c>
      <c r="G245" s="101">
        <v>14700</v>
      </c>
      <c r="H245" s="100" t="s">
        <v>495</v>
      </c>
      <c r="I245" s="101">
        <v>9.8000000000000007</v>
      </c>
      <c r="J245" s="101">
        <v>6864.69</v>
      </c>
      <c r="K245" s="100" t="s">
        <v>399</v>
      </c>
      <c r="L245" s="100">
        <v>7830.62</v>
      </c>
      <c r="M245" s="102">
        <v>5.11E-2</v>
      </c>
      <c r="N245" s="100"/>
      <c r="O245" s="101">
        <f t="shared" si="19"/>
        <v>7835.31</v>
      </c>
      <c r="P245" s="101">
        <f t="shared" si="20"/>
        <v>14695.31</v>
      </c>
      <c r="Q245" s="101">
        <f t="shared" si="24"/>
        <v>6864.6900000000005</v>
      </c>
      <c r="R245" s="101">
        <f t="shared" si="21"/>
        <v>7830.619999999999</v>
      </c>
      <c r="S245" s="101">
        <f t="shared" si="22"/>
        <v>0</v>
      </c>
      <c r="T245" s="103">
        <f t="shared" si="23"/>
        <v>0</v>
      </c>
    </row>
    <row r="246" spans="2:20" x14ac:dyDescent="0.25">
      <c r="B246" s="99">
        <v>242</v>
      </c>
      <c r="C246" s="100" t="s">
        <v>392</v>
      </c>
      <c r="D246" s="100">
        <v>8</v>
      </c>
      <c r="E246" s="100" t="s">
        <v>496</v>
      </c>
      <c r="F246" s="101">
        <v>20</v>
      </c>
      <c r="G246" s="101">
        <v>16000</v>
      </c>
      <c r="H246" s="100" t="s">
        <v>497</v>
      </c>
      <c r="I246" s="101">
        <v>8.8000000000000007</v>
      </c>
      <c r="J246" s="101">
        <v>7045.36</v>
      </c>
      <c r="K246" s="100" t="s">
        <v>399</v>
      </c>
      <c r="L246" s="100">
        <v>8949.2800000000007</v>
      </c>
      <c r="M246" s="102">
        <v>5.33E-2</v>
      </c>
      <c r="N246" s="100"/>
      <c r="O246" s="101">
        <f t="shared" si="19"/>
        <v>8954.64</v>
      </c>
      <c r="P246" s="101">
        <f t="shared" si="20"/>
        <v>15994.64</v>
      </c>
      <c r="Q246" s="101">
        <f t="shared" si="24"/>
        <v>7045.3600000000006</v>
      </c>
      <c r="R246" s="101">
        <f t="shared" si="21"/>
        <v>8949.2799999999988</v>
      </c>
      <c r="S246" s="101">
        <f t="shared" si="22"/>
        <v>0</v>
      </c>
      <c r="T246" s="103">
        <f t="shared" si="23"/>
        <v>0</v>
      </c>
    </row>
    <row r="247" spans="2:20" x14ac:dyDescent="0.25">
      <c r="B247" s="99">
        <v>243</v>
      </c>
      <c r="C247" s="100" t="s">
        <v>392</v>
      </c>
      <c r="D247" s="100">
        <v>8</v>
      </c>
      <c r="E247" s="100" t="s">
        <v>451</v>
      </c>
      <c r="F247" s="101">
        <v>21.6</v>
      </c>
      <c r="G247" s="101">
        <v>17280</v>
      </c>
      <c r="H247" s="100" t="s">
        <v>498</v>
      </c>
      <c r="I247" s="101">
        <v>10.4</v>
      </c>
      <c r="J247" s="101">
        <v>8325.36</v>
      </c>
      <c r="K247" s="100" t="s">
        <v>399</v>
      </c>
      <c r="L247" s="100">
        <v>8949.2800000000007</v>
      </c>
      <c r="M247" s="102">
        <v>5.1200000000000002E-2</v>
      </c>
      <c r="N247" s="100"/>
      <c r="O247" s="101">
        <f t="shared" si="19"/>
        <v>8954.64</v>
      </c>
      <c r="P247" s="101">
        <f t="shared" si="20"/>
        <v>17274.64</v>
      </c>
      <c r="Q247" s="101">
        <f t="shared" si="24"/>
        <v>8325.36</v>
      </c>
      <c r="R247" s="101">
        <f t="shared" si="21"/>
        <v>8949.2799999999988</v>
      </c>
      <c r="S247" s="101">
        <f t="shared" si="22"/>
        <v>0</v>
      </c>
      <c r="T247" s="103">
        <f t="shared" si="23"/>
        <v>0</v>
      </c>
    </row>
    <row r="248" spans="2:20" x14ac:dyDescent="0.25">
      <c r="B248" s="99">
        <v>244</v>
      </c>
      <c r="C248" s="100" t="s">
        <v>499</v>
      </c>
      <c r="D248" s="100">
        <v>48</v>
      </c>
      <c r="E248" s="100" t="s">
        <v>500</v>
      </c>
      <c r="F248" s="101">
        <v>3.55</v>
      </c>
      <c r="G248" s="101">
        <v>17040</v>
      </c>
      <c r="H248" s="100" t="s">
        <v>501</v>
      </c>
      <c r="I248" s="101">
        <v>1.63</v>
      </c>
      <c r="J248" s="101">
        <v>7856.16</v>
      </c>
      <c r="K248" s="100" t="s">
        <v>399</v>
      </c>
      <c r="L248" s="100">
        <v>9151.68</v>
      </c>
      <c r="M248" s="102">
        <v>4.9599999999999998E-2</v>
      </c>
      <c r="N248" s="100"/>
      <c r="O248" s="101">
        <f t="shared" si="19"/>
        <v>9183.84</v>
      </c>
      <c r="P248" s="101">
        <f t="shared" si="20"/>
        <v>17007.839999999997</v>
      </c>
      <c r="Q248" s="101">
        <f t="shared" si="24"/>
        <v>7856.1599999999989</v>
      </c>
      <c r="R248" s="101">
        <f t="shared" si="21"/>
        <v>9151.6799999999967</v>
      </c>
      <c r="S248" s="101">
        <f t="shared" si="22"/>
        <v>0</v>
      </c>
      <c r="T248" s="103">
        <f t="shared" si="23"/>
        <v>0</v>
      </c>
    </row>
    <row r="249" spans="2:20" x14ac:dyDescent="0.25">
      <c r="B249" s="99">
        <v>245</v>
      </c>
      <c r="C249" s="100" t="s">
        <v>392</v>
      </c>
      <c r="D249" s="100">
        <v>9</v>
      </c>
      <c r="E249" s="100" t="s">
        <v>488</v>
      </c>
      <c r="F249" s="101">
        <v>21.3</v>
      </c>
      <c r="G249" s="101">
        <v>19170</v>
      </c>
      <c r="H249" s="100" t="s">
        <v>501</v>
      </c>
      <c r="I249" s="101">
        <v>8.8000000000000007</v>
      </c>
      <c r="J249" s="101">
        <v>7926.03</v>
      </c>
      <c r="K249" s="100" t="s">
        <v>399</v>
      </c>
      <c r="L249" s="100">
        <v>11237.94</v>
      </c>
      <c r="M249" s="102">
        <v>5.4600000000000003E-2</v>
      </c>
      <c r="N249" s="100"/>
      <c r="O249" s="101">
        <f t="shared" si="19"/>
        <v>11243.970000000001</v>
      </c>
      <c r="P249" s="101">
        <f t="shared" si="20"/>
        <v>19163.97</v>
      </c>
      <c r="Q249" s="101">
        <f t="shared" si="24"/>
        <v>7926.03</v>
      </c>
      <c r="R249" s="101">
        <f t="shared" si="21"/>
        <v>11237.940000000002</v>
      </c>
      <c r="S249" s="101">
        <f t="shared" si="22"/>
        <v>0</v>
      </c>
      <c r="T249" s="103">
        <f t="shared" si="23"/>
        <v>0</v>
      </c>
    </row>
    <row r="250" spans="2:20" x14ac:dyDescent="0.25">
      <c r="B250" s="99">
        <v>246</v>
      </c>
      <c r="C250" s="100" t="s">
        <v>502</v>
      </c>
      <c r="D250" s="100">
        <v>46</v>
      </c>
      <c r="E250" s="100" t="s">
        <v>503</v>
      </c>
      <c r="F250" s="101">
        <v>4.2</v>
      </c>
      <c r="G250" s="101">
        <v>19320</v>
      </c>
      <c r="H250" s="100" t="s">
        <v>504</v>
      </c>
      <c r="I250" s="101">
        <v>1.93</v>
      </c>
      <c r="J250" s="101">
        <v>8908.82</v>
      </c>
      <c r="K250" s="100" t="s">
        <v>399</v>
      </c>
      <c r="L250" s="100">
        <v>10380.36</v>
      </c>
      <c r="M250" s="102">
        <v>4.9299999999999997E-2</v>
      </c>
      <c r="N250" s="100"/>
      <c r="O250" s="101">
        <f t="shared" si="19"/>
        <v>10411.18</v>
      </c>
      <c r="P250" s="101">
        <f t="shared" si="20"/>
        <v>19289.18</v>
      </c>
      <c r="Q250" s="101">
        <f t="shared" si="24"/>
        <v>8908.82</v>
      </c>
      <c r="R250" s="101">
        <f t="shared" si="21"/>
        <v>10380.36</v>
      </c>
      <c r="S250" s="101">
        <f t="shared" si="22"/>
        <v>0</v>
      </c>
      <c r="T250" s="103">
        <f t="shared" si="23"/>
        <v>0</v>
      </c>
    </row>
    <row r="251" spans="2:20" x14ac:dyDescent="0.25">
      <c r="B251" s="99">
        <v>247</v>
      </c>
      <c r="C251" s="100" t="s">
        <v>505</v>
      </c>
      <c r="D251" s="100">
        <v>54</v>
      </c>
      <c r="E251" s="100" t="s">
        <v>506</v>
      </c>
      <c r="F251" s="101">
        <v>3.65</v>
      </c>
      <c r="G251" s="101">
        <v>19710</v>
      </c>
      <c r="H251" s="100" t="s">
        <v>507</v>
      </c>
      <c r="I251" s="101">
        <v>1.7</v>
      </c>
      <c r="J251" s="101">
        <v>9216.18</v>
      </c>
      <c r="K251" s="100" t="s">
        <v>399</v>
      </c>
      <c r="L251" s="100">
        <v>10457.64</v>
      </c>
      <c r="M251" s="102">
        <v>5.4800000000000001E-2</v>
      </c>
      <c r="N251" s="100"/>
      <c r="O251" s="101">
        <f t="shared" si="19"/>
        <v>10493.82</v>
      </c>
      <c r="P251" s="101">
        <f t="shared" si="20"/>
        <v>19673.82</v>
      </c>
      <c r="Q251" s="101">
        <f t="shared" si="24"/>
        <v>9216.18</v>
      </c>
      <c r="R251" s="101">
        <f t="shared" si="21"/>
        <v>10457.64</v>
      </c>
      <c r="S251" s="101">
        <f t="shared" si="22"/>
        <v>0</v>
      </c>
      <c r="T251" s="103">
        <f t="shared" si="23"/>
        <v>0</v>
      </c>
    </row>
    <row r="252" spans="2:20" x14ac:dyDescent="0.25">
      <c r="B252" s="99">
        <v>248</v>
      </c>
      <c r="C252" s="100" t="s">
        <v>508</v>
      </c>
      <c r="D252" s="100">
        <v>35</v>
      </c>
      <c r="E252" s="100" t="s">
        <v>509</v>
      </c>
      <c r="F252" s="101">
        <v>5.65</v>
      </c>
      <c r="G252" s="101">
        <v>19775</v>
      </c>
      <c r="H252" s="100" t="s">
        <v>507</v>
      </c>
      <c r="I252" s="101">
        <v>2.57</v>
      </c>
      <c r="J252" s="101">
        <v>9018.4500000000007</v>
      </c>
      <c r="K252" s="100" t="s">
        <v>399</v>
      </c>
      <c r="L252" s="100">
        <v>10733.1</v>
      </c>
      <c r="M252" s="102">
        <v>7.7899999999999997E-2</v>
      </c>
      <c r="N252" s="100"/>
      <c r="O252" s="101">
        <f t="shared" si="19"/>
        <v>10756.55</v>
      </c>
      <c r="P252" s="101">
        <f t="shared" si="20"/>
        <v>19751.55</v>
      </c>
      <c r="Q252" s="101">
        <f t="shared" si="24"/>
        <v>9018.4499999999989</v>
      </c>
      <c r="R252" s="101">
        <f t="shared" si="21"/>
        <v>10733.1</v>
      </c>
      <c r="S252" s="101">
        <f t="shared" si="22"/>
        <v>0</v>
      </c>
      <c r="T252" s="103">
        <f t="shared" si="23"/>
        <v>0</v>
      </c>
    </row>
    <row r="253" spans="2:20" x14ac:dyDescent="0.25">
      <c r="B253" s="99">
        <v>249</v>
      </c>
      <c r="C253" s="100" t="s">
        <v>510</v>
      </c>
      <c r="D253" s="100">
        <v>7</v>
      </c>
      <c r="E253" s="100" t="s">
        <v>511</v>
      </c>
      <c r="F253" s="101">
        <v>20</v>
      </c>
      <c r="G253" s="101">
        <v>14000</v>
      </c>
      <c r="H253" s="100" t="s">
        <v>512</v>
      </c>
      <c r="I253" s="101">
        <v>9.5</v>
      </c>
      <c r="J253" s="101">
        <v>6654.69</v>
      </c>
      <c r="K253" s="100" t="s">
        <v>399</v>
      </c>
      <c r="L253" s="100">
        <v>7340.62</v>
      </c>
      <c r="M253" s="102">
        <v>8.0699999999999994E-2</v>
      </c>
      <c r="N253" s="100"/>
      <c r="O253" s="101">
        <f t="shared" si="19"/>
        <v>7345.31</v>
      </c>
      <c r="P253" s="101">
        <f t="shared" si="20"/>
        <v>13995.31</v>
      </c>
      <c r="Q253" s="101">
        <f t="shared" si="24"/>
        <v>6654.69</v>
      </c>
      <c r="R253" s="101">
        <f t="shared" si="21"/>
        <v>7340.62</v>
      </c>
      <c r="S253" s="101">
        <f t="shared" si="22"/>
        <v>0</v>
      </c>
      <c r="T253" s="103">
        <f t="shared" si="23"/>
        <v>0</v>
      </c>
    </row>
    <row r="254" spans="2:20" x14ac:dyDescent="0.25">
      <c r="B254" s="99">
        <v>250</v>
      </c>
      <c r="C254" s="100" t="s">
        <v>510</v>
      </c>
      <c r="D254" s="100">
        <v>7</v>
      </c>
      <c r="E254" s="100" t="s">
        <v>513</v>
      </c>
      <c r="F254" s="101">
        <v>21</v>
      </c>
      <c r="G254" s="101">
        <v>14700</v>
      </c>
      <c r="H254" s="100" t="s">
        <v>514</v>
      </c>
      <c r="I254" s="101">
        <v>10</v>
      </c>
      <c r="J254" s="101">
        <v>7004.69</v>
      </c>
      <c r="K254" s="100" t="s">
        <v>399</v>
      </c>
      <c r="L254" s="100">
        <v>7690.62</v>
      </c>
      <c r="M254" s="102">
        <v>8.2000000000000003E-2</v>
      </c>
      <c r="N254" s="100"/>
      <c r="O254" s="101">
        <f t="shared" si="19"/>
        <v>7695.31</v>
      </c>
      <c r="P254" s="101">
        <f t="shared" si="20"/>
        <v>14695.31</v>
      </c>
      <c r="Q254" s="101">
        <f t="shared" si="24"/>
        <v>7004.69</v>
      </c>
      <c r="R254" s="101">
        <f t="shared" si="21"/>
        <v>7690.62</v>
      </c>
      <c r="S254" s="101">
        <f t="shared" si="22"/>
        <v>0</v>
      </c>
      <c r="T254" s="103">
        <f t="shared" si="23"/>
        <v>0</v>
      </c>
    </row>
    <row r="255" spans="2:20" x14ac:dyDescent="0.25">
      <c r="B255" s="99">
        <v>251</v>
      </c>
      <c r="C255" s="100" t="s">
        <v>508</v>
      </c>
      <c r="D255" s="100">
        <v>29</v>
      </c>
      <c r="E255" s="100" t="s">
        <v>515</v>
      </c>
      <c r="F255" s="101">
        <v>7.05</v>
      </c>
      <c r="G255" s="101">
        <v>20445</v>
      </c>
      <c r="H255" s="100" t="s">
        <v>516</v>
      </c>
      <c r="I255" s="101">
        <v>3.45</v>
      </c>
      <c r="J255" s="101">
        <v>10024.43</v>
      </c>
      <c r="K255" s="100" t="s">
        <v>399</v>
      </c>
      <c r="L255" s="100">
        <v>10401.14</v>
      </c>
      <c r="M255" s="102">
        <v>9.4500000000000001E-2</v>
      </c>
      <c r="N255" s="100"/>
      <c r="O255" s="101">
        <f t="shared" si="19"/>
        <v>10420.57</v>
      </c>
      <c r="P255" s="101">
        <f t="shared" si="20"/>
        <v>20425.57</v>
      </c>
      <c r="Q255" s="101">
        <f t="shared" si="24"/>
        <v>10024.430000000002</v>
      </c>
      <c r="R255" s="101">
        <f t="shared" si="21"/>
        <v>10401.139999999998</v>
      </c>
      <c r="S255" s="101">
        <f t="shared" si="22"/>
        <v>0</v>
      </c>
      <c r="T255" s="103">
        <f t="shared" si="23"/>
        <v>0</v>
      </c>
    </row>
    <row r="256" spans="2:20" x14ac:dyDescent="0.25">
      <c r="B256" s="99">
        <v>252</v>
      </c>
      <c r="C256" s="100" t="s">
        <v>508</v>
      </c>
      <c r="D256" s="100">
        <v>38</v>
      </c>
      <c r="E256" s="100" t="s">
        <v>517</v>
      </c>
      <c r="F256" s="101">
        <v>5.4</v>
      </c>
      <c r="G256" s="101">
        <v>20520</v>
      </c>
      <c r="H256" s="100" t="s">
        <v>516</v>
      </c>
      <c r="I256" s="101">
        <v>2.5</v>
      </c>
      <c r="J256" s="101">
        <v>9525.4599999999991</v>
      </c>
      <c r="K256" s="100" t="s">
        <v>399</v>
      </c>
      <c r="L256" s="100">
        <v>10969.08</v>
      </c>
      <c r="M256" s="102">
        <v>8.3400000000000002E-2</v>
      </c>
      <c r="N256" s="100"/>
      <c r="O256" s="101">
        <f t="shared" si="19"/>
        <v>10994.54</v>
      </c>
      <c r="P256" s="101">
        <f t="shared" si="20"/>
        <v>20494.54</v>
      </c>
      <c r="Q256" s="101">
        <f t="shared" si="24"/>
        <v>9525.4599999999991</v>
      </c>
      <c r="R256" s="101">
        <f t="shared" si="21"/>
        <v>10969.080000000002</v>
      </c>
      <c r="S256" s="101">
        <f t="shared" si="22"/>
        <v>0</v>
      </c>
      <c r="T256" s="103">
        <f t="shared" si="23"/>
        <v>0</v>
      </c>
    </row>
    <row r="257" spans="2:20" x14ac:dyDescent="0.25">
      <c r="B257" s="99">
        <v>253</v>
      </c>
      <c r="C257" s="100" t="s">
        <v>508</v>
      </c>
      <c r="D257" s="100">
        <v>56</v>
      </c>
      <c r="E257" s="100" t="s">
        <v>518</v>
      </c>
      <c r="F257" s="101">
        <v>3.65</v>
      </c>
      <c r="G257" s="101">
        <v>20440</v>
      </c>
      <c r="H257" s="100" t="s">
        <v>516</v>
      </c>
      <c r="I257" s="101">
        <v>1.76</v>
      </c>
      <c r="J257" s="101">
        <v>9893.52</v>
      </c>
      <c r="K257" s="100" t="s">
        <v>399</v>
      </c>
      <c r="L257" s="100">
        <v>10508.96</v>
      </c>
      <c r="M257" s="102">
        <v>5.9900000000000002E-2</v>
      </c>
      <c r="N257" s="100"/>
      <c r="O257" s="101">
        <f t="shared" si="19"/>
        <v>10546.48</v>
      </c>
      <c r="P257" s="101">
        <f t="shared" si="20"/>
        <v>20402.48</v>
      </c>
      <c r="Q257" s="101">
        <f t="shared" si="24"/>
        <v>9893.52</v>
      </c>
      <c r="R257" s="101">
        <f t="shared" si="21"/>
        <v>10508.96</v>
      </c>
      <c r="S257" s="101">
        <f t="shared" si="22"/>
        <v>0</v>
      </c>
      <c r="T257" s="103">
        <f t="shared" si="23"/>
        <v>0</v>
      </c>
    </row>
    <row r="258" spans="2:20" x14ac:dyDescent="0.25">
      <c r="B258" s="99">
        <v>254</v>
      </c>
      <c r="C258" s="100" t="s">
        <v>519</v>
      </c>
      <c r="D258" s="100">
        <v>54</v>
      </c>
      <c r="E258" s="100" t="s">
        <v>520</v>
      </c>
      <c r="F258" s="101">
        <v>3.85</v>
      </c>
      <c r="G258" s="101">
        <v>20790</v>
      </c>
      <c r="H258" s="100" t="s">
        <v>521</v>
      </c>
      <c r="I258" s="101">
        <v>1.71</v>
      </c>
      <c r="J258" s="101">
        <v>9270.18</v>
      </c>
      <c r="K258" s="100" t="s">
        <v>399</v>
      </c>
      <c r="L258" s="100">
        <v>11483.64</v>
      </c>
      <c r="M258" s="102">
        <v>8.8099999999999998E-2</v>
      </c>
      <c r="N258" s="100"/>
      <c r="O258" s="101">
        <f t="shared" si="19"/>
        <v>11519.82</v>
      </c>
      <c r="P258" s="101">
        <f t="shared" si="20"/>
        <v>20753.82</v>
      </c>
      <c r="Q258" s="101">
        <f t="shared" si="24"/>
        <v>9270.18</v>
      </c>
      <c r="R258" s="101">
        <f t="shared" si="21"/>
        <v>11483.64</v>
      </c>
      <c r="S258" s="101">
        <f t="shared" si="22"/>
        <v>0</v>
      </c>
      <c r="T258" s="103">
        <f t="shared" si="23"/>
        <v>0</v>
      </c>
    </row>
    <row r="259" spans="2:20" x14ac:dyDescent="0.25">
      <c r="B259" s="99">
        <v>255</v>
      </c>
      <c r="C259" s="100" t="s">
        <v>522</v>
      </c>
      <c r="D259" s="100">
        <v>27</v>
      </c>
      <c r="E259" s="100" t="s">
        <v>523</v>
      </c>
      <c r="F259" s="101">
        <v>7.6</v>
      </c>
      <c r="G259" s="101">
        <v>20520</v>
      </c>
      <c r="H259" s="100" t="s">
        <v>521</v>
      </c>
      <c r="I259" s="101">
        <v>3.4</v>
      </c>
      <c r="J259" s="101">
        <v>9198.09</v>
      </c>
      <c r="K259" s="100" t="s">
        <v>399</v>
      </c>
      <c r="L259" s="100">
        <v>11303.82</v>
      </c>
      <c r="M259" s="102">
        <v>7.2900000000000006E-2</v>
      </c>
      <c r="N259" s="100"/>
      <c r="O259" s="101">
        <f t="shared" si="19"/>
        <v>11321.91</v>
      </c>
      <c r="P259" s="101">
        <f t="shared" si="20"/>
        <v>20501.91</v>
      </c>
      <c r="Q259" s="101">
        <f t="shared" si="24"/>
        <v>9198.09</v>
      </c>
      <c r="R259" s="101">
        <f t="shared" si="21"/>
        <v>11303.82</v>
      </c>
      <c r="S259" s="101">
        <f t="shared" si="22"/>
        <v>0</v>
      </c>
      <c r="T259" s="103">
        <f t="shared" si="23"/>
        <v>0</v>
      </c>
    </row>
    <row r="260" spans="2:20" x14ac:dyDescent="0.25">
      <c r="B260" s="99">
        <v>256</v>
      </c>
      <c r="C260" s="100" t="s">
        <v>524</v>
      </c>
      <c r="D260" s="100">
        <v>39</v>
      </c>
      <c r="E260" s="100" t="s">
        <v>525</v>
      </c>
      <c r="F260" s="101">
        <v>5.15</v>
      </c>
      <c r="G260" s="101">
        <v>20085</v>
      </c>
      <c r="H260" s="100" t="s">
        <v>526</v>
      </c>
      <c r="I260" s="101">
        <v>2.54</v>
      </c>
      <c r="J260" s="101">
        <v>9932.1299999999992</v>
      </c>
      <c r="K260" s="100" t="s">
        <v>399</v>
      </c>
      <c r="L260" s="100">
        <v>10126.74</v>
      </c>
      <c r="M260" s="102">
        <v>7.4499999999999997E-2</v>
      </c>
      <c r="N260" s="100"/>
      <c r="O260" s="101">
        <f t="shared" si="19"/>
        <v>10152.870000000001</v>
      </c>
      <c r="P260" s="101">
        <f t="shared" si="20"/>
        <v>20058.870000000003</v>
      </c>
      <c r="Q260" s="101">
        <f t="shared" si="24"/>
        <v>9932.1299999999992</v>
      </c>
      <c r="R260" s="101">
        <f t="shared" si="21"/>
        <v>10126.740000000003</v>
      </c>
      <c r="S260" s="101">
        <f t="shared" si="22"/>
        <v>0</v>
      </c>
      <c r="T260" s="103">
        <f t="shared" si="23"/>
        <v>0</v>
      </c>
    </row>
    <row r="261" spans="2:20" x14ac:dyDescent="0.25">
      <c r="B261" s="99">
        <v>257</v>
      </c>
      <c r="C261" s="100" t="s">
        <v>407</v>
      </c>
      <c r="D261" s="100">
        <v>5</v>
      </c>
      <c r="E261" s="100" t="s">
        <v>527</v>
      </c>
      <c r="F261" s="101">
        <v>33.85</v>
      </c>
      <c r="G261" s="101">
        <v>16925</v>
      </c>
      <c r="H261" s="100" t="s">
        <v>528</v>
      </c>
      <c r="I261" s="101">
        <v>16.25</v>
      </c>
      <c r="J261" s="101">
        <v>8128.35</v>
      </c>
      <c r="K261" s="100" t="s">
        <v>399</v>
      </c>
      <c r="L261" s="100">
        <v>8793.2999999999993</v>
      </c>
      <c r="M261" s="102">
        <v>4.9399999999999999E-2</v>
      </c>
      <c r="N261" s="100"/>
      <c r="O261" s="101">
        <f t="shared" si="19"/>
        <v>8796.65</v>
      </c>
      <c r="P261" s="101">
        <f t="shared" si="20"/>
        <v>16921.650000000001</v>
      </c>
      <c r="Q261" s="101">
        <f t="shared" si="24"/>
        <v>8128.35</v>
      </c>
      <c r="R261" s="101">
        <f t="shared" si="21"/>
        <v>8793.3000000000011</v>
      </c>
      <c r="S261" s="101">
        <f t="shared" si="22"/>
        <v>0</v>
      </c>
      <c r="T261" s="103">
        <f t="shared" si="23"/>
        <v>0</v>
      </c>
    </row>
    <row r="262" spans="2:20" x14ac:dyDescent="0.25">
      <c r="B262" s="99">
        <v>258</v>
      </c>
      <c r="C262" s="100" t="s">
        <v>529</v>
      </c>
      <c r="D262" s="100">
        <v>27</v>
      </c>
      <c r="E262" s="100" t="s">
        <v>530</v>
      </c>
      <c r="F262" s="101">
        <v>8</v>
      </c>
      <c r="G262" s="101">
        <v>21600</v>
      </c>
      <c r="H262" s="100" t="s">
        <v>528</v>
      </c>
      <c r="I262" s="101">
        <v>3.8</v>
      </c>
      <c r="J262" s="101">
        <v>10278.09</v>
      </c>
      <c r="K262" s="100" t="s">
        <v>399</v>
      </c>
      <c r="L262" s="100">
        <v>11303.82</v>
      </c>
      <c r="M262" s="102">
        <v>4.8099999999999997E-2</v>
      </c>
      <c r="N262" s="100"/>
      <c r="O262" s="101">
        <f t="shared" ref="O262:O325" si="25">G262-J262</f>
        <v>11321.91</v>
      </c>
      <c r="P262" s="101">
        <f t="shared" ref="P262:P325" si="26">F262*D262*100 - D262*0.67</f>
        <v>21581.91</v>
      </c>
      <c r="Q262" s="101">
        <f t="shared" si="24"/>
        <v>10278.09</v>
      </c>
      <c r="R262" s="101">
        <f t="shared" ref="R262:R325" si="27">P262-Q262</f>
        <v>11303.82</v>
      </c>
      <c r="S262" s="101">
        <f t="shared" ref="S262:S325" si="28">L262-R262</f>
        <v>0</v>
      </c>
      <c r="T262" s="103">
        <f t="shared" ref="T262:T325" si="29">S262/D262</f>
        <v>0</v>
      </c>
    </row>
    <row r="263" spans="2:20" x14ac:dyDescent="0.25">
      <c r="B263" s="99">
        <v>259</v>
      </c>
      <c r="C263" s="100" t="s">
        <v>529</v>
      </c>
      <c r="D263" s="100">
        <v>24</v>
      </c>
      <c r="E263" s="100" t="s">
        <v>531</v>
      </c>
      <c r="F263" s="101">
        <v>9.1999999999999993</v>
      </c>
      <c r="G263" s="101">
        <v>22080</v>
      </c>
      <c r="H263" s="100" t="s">
        <v>528</v>
      </c>
      <c r="I263" s="101">
        <v>4.5999999999999996</v>
      </c>
      <c r="J263" s="101">
        <v>11056.08</v>
      </c>
      <c r="K263" s="100" t="s">
        <v>399</v>
      </c>
      <c r="L263" s="100">
        <v>11007.84</v>
      </c>
      <c r="M263" s="102">
        <v>5.0500000000000003E-2</v>
      </c>
      <c r="N263" s="100"/>
      <c r="O263" s="101">
        <f t="shared" si="25"/>
        <v>11023.92</v>
      </c>
      <c r="P263" s="101">
        <f t="shared" si="26"/>
        <v>22063.919999999998</v>
      </c>
      <c r="Q263" s="101">
        <f t="shared" si="24"/>
        <v>11056.08</v>
      </c>
      <c r="R263" s="101">
        <f t="shared" si="27"/>
        <v>11007.839999999998</v>
      </c>
      <c r="S263" s="101">
        <f t="shared" si="28"/>
        <v>0</v>
      </c>
      <c r="T263" s="103">
        <f t="shared" si="29"/>
        <v>0</v>
      </c>
    </row>
    <row r="264" spans="2:20" x14ac:dyDescent="0.25">
      <c r="B264" s="99">
        <v>260</v>
      </c>
      <c r="C264" s="100" t="s">
        <v>407</v>
      </c>
      <c r="D264" s="100">
        <v>5</v>
      </c>
      <c r="E264" s="100" t="s">
        <v>532</v>
      </c>
      <c r="F264" s="101">
        <v>35</v>
      </c>
      <c r="G264" s="101">
        <v>17500</v>
      </c>
      <c r="H264" s="100" t="s">
        <v>533</v>
      </c>
      <c r="I264" s="101">
        <v>17.100000000000001</v>
      </c>
      <c r="J264" s="101">
        <v>8553.35</v>
      </c>
      <c r="K264" s="100" t="s">
        <v>399</v>
      </c>
      <c r="L264" s="100">
        <v>8943.2999999999993</v>
      </c>
      <c r="M264" s="102">
        <v>4.9000000000000002E-2</v>
      </c>
      <c r="N264" s="100"/>
      <c r="O264" s="101">
        <f t="shared" si="25"/>
        <v>8946.65</v>
      </c>
      <c r="P264" s="101">
        <f t="shared" si="26"/>
        <v>17496.650000000001</v>
      </c>
      <c r="Q264" s="101">
        <f t="shared" si="24"/>
        <v>8553.35</v>
      </c>
      <c r="R264" s="101">
        <f t="shared" si="27"/>
        <v>8943.3000000000011</v>
      </c>
      <c r="S264" s="101">
        <f t="shared" si="28"/>
        <v>0</v>
      </c>
      <c r="T264" s="103">
        <f t="shared" si="29"/>
        <v>0</v>
      </c>
    </row>
    <row r="265" spans="2:20" x14ac:dyDescent="0.25">
      <c r="B265" s="99">
        <v>261</v>
      </c>
      <c r="C265" s="100" t="s">
        <v>534</v>
      </c>
      <c r="D265" s="100">
        <v>16</v>
      </c>
      <c r="E265" s="100" t="s">
        <v>535</v>
      </c>
      <c r="F265" s="101">
        <v>12.95</v>
      </c>
      <c r="G265" s="101">
        <v>20720</v>
      </c>
      <c r="H265" s="100" t="s">
        <v>536</v>
      </c>
      <c r="I265" s="101">
        <v>6.3</v>
      </c>
      <c r="J265" s="101">
        <v>10090.719999999999</v>
      </c>
      <c r="K265" s="100" t="s">
        <v>399</v>
      </c>
      <c r="L265" s="100">
        <v>10618.56</v>
      </c>
      <c r="M265" s="102">
        <v>0.1275</v>
      </c>
      <c r="N265" s="100"/>
      <c r="O265" s="101">
        <f t="shared" si="25"/>
        <v>10629.28</v>
      </c>
      <c r="P265" s="101">
        <f t="shared" si="26"/>
        <v>20709.28</v>
      </c>
      <c r="Q265" s="101">
        <f t="shared" si="24"/>
        <v>10090.719999999999</v>
      </c>
      <c r="R265" s="101">
        <f t="shared" si="27"/>
        <v>10618.56</v>
      </c>
      <c r="S265" s="101">
        <f t="shared" si="28"/>
        <v>0</v>
      </c>
      <c r="T265" s="103">
        <f t="shared" si="29"/>
        <v>0</v>
      </c>
    </row>
    <row r="266" spans="2:20" x14ac:dyDescent="0.25">
      <c r="B266" s="99">
        <v>262</v>
      </c>
      <c r="C266" s="100" t="s">
        <v>522</v>
      </c>
      <c r="D266" s="100">
        <v>34</v>
      </c>
      <c r="E266" s="100" t="s">
        <v>537</v>
      </c>
      <c r="F266" s="101">
        <v>6.35</v>
      </c>
      <c r="G266" s="101">
        <v>21590</v>
      </c>
      <c r="H266" s="100" t="s">
        <v>538</v>
      </c>
      <c r="I266" s="101">
        <v>3</v>
      </c>
      <c r="J266" s="101">
        <v>10222.780000000001</v>
      </c>
      <c r="K266" s="100" t="s">
        <v>399</v>
      </c>
      <c r="L266" s="100">
        <v>11344.44</v>
      </c>
      <c r="M266" s="102">
        <v>5.2400000000000002E-2</v>
      </c>
      <c r="N266" s="100"/>
      <c r="O266" s="101">
        <f t="shared" si="25"/>
        <v>11367.22</v>
      </c>
      <c r="P266" s="101">
        <f t="shared" si="26"/>
        <v>21567.219999999998</v>
      </c>
      <c r="Q266" s="101">
        <f t="shared" si="24"/>
        <v>10222.780000000001</v>
      </c>
      <c r="R266" s="101">
        <f t="shared" si="27"/>
        <v>11344.439999999997</v>
      </c>
      <c r="S266" s="101">
        <f t="shared" si="28"/>
        <v>0</v>
      </c>
      <c r="T266" s="103">
        <f t="shared" si="29"/>
        <v>0</v>
      </c>
    </row>
    <row r="267" spans="2:20" x14ac:dyDescent="0.25">
      <c r="B267" s="99">
        <v>263</v>
      </c>
      <c r="C267" s="100" t="s">
        <v>522</v>
      </c>
      <c r="D267" s="100">
        <v>38</v>
      </c>
      <c r="E267" s="100" t="s">
        <v>512</v>
      </c>
      <c r="F267" s="101">
        <v>5.65</v>
      </c>
      <c r="G267" s="101">
        <v>21470</v>
      </c>
      <c r="H267" s="100" t="s">
        <v>538</v>
      </c>
      <c r="I267" s="101">
        <v>2.62</v>
      </c>
      <c r="J267" s="101">
        <v>9981.4599999999991</v>
      </c>
      <c r="K267" s="100" t="s">
        <v>399</v>
      </c>
      <c r="L267" s="100">
        <v>11463.08</v>
      </c>
      <c r="M267" s="102">
        <v>4.8800000000000003E-2</v>
      </c>
      <c r="N267" s="100"/>
      <c r="O267" s="101">
        <f t="shared" si="25"/>
        <v>11488.54</v>
      </c>
      <c r="P267" s="101">
        <f t="shared" si="26"/>
        <v>21444.54</v>
      </c>
      <c r="Q267" s="101">
        <f t="shared" si="24"/>
        <v>9981.4599999999991</v>
      </c>
      <c r="R267" s="101">
        <f t="shared" si="27"/>
        <v>11463.080000000002</v>
      </c>
      <c r="S267" s="101">
        <f t="shared" si="28"/>
        <v>0</v>
      </c>
      <c r="T267" s="103">
        <f t="shared" si="29"/>
        <v>0</v>
      </c>
    </row>
    <row r="268" spans="2:20" x14ac:dyDescent="0.25">
      <c r="B268" s="99">
        <v>264</v>
      </c>
      <c r="C268" s="100" t="s">
        <v>407</v>
      </c>
      <c r="D268" s="100">
        <v>5</v>
      </c>
      <c r="E268" s="100" t="s">
        <v>539</v>
      </c>
      <c r="F268" s="101">
        <v>35.1</v>
      </c>
      <c r="G268" s="101">
        <v>17550</v>
      </c>
      <c r="H268" s="100" t="s">
        <v>540</v>
      </c>
      <c r="I268" s="101">
        <v>17.5</v>
      </c>
      <c r="J268" s="101">
        <v>8753.35</v>
      </c>
      <c r="K268" s="100" t="s">
        <v>399</v>
      </c>
      <c r="L268" s="100">
        <v>8793.2999999999993</v>
      </c>
      <c r="M268" s="102">
        <v>4.6899999999999997E-2</v>
      </c>
      <c r="N268" s="100"/>
      <c r="O268" s="101">
        <f t="shared" si="25"/>
        <v>8796.65</v>
      </c>
      <c r="P268" s="101">
        <f t="shared" si="26"/>
        <v>17546.650000000001</v>
      </c>
      <c r="Q268" s="101">
        <f t="shared" si="24"/>
        <v>8753.35</v>
      </c>
      <c r="R268" s="101">
        <f t="shared" si="27"/>
        <v>8793.3000000000011</v>
      </c>
      <c r="S268" s="101">
        <f t="shared" si="28"/>
        <v>0</v>
      </c>
      <c r="T268" s="103">
        <f t="shared" si="29"/>
        <v>0</v>
      </c>
    </row>
    <row r="269" spans="2:20" x14ac:dyDescent="0.25">
      <c r="B269" s="99">
        <v>265</v>
      </c>
      <c r="C269" s="100" t="s">
        <v>524</v>
      </c>
      <c r="D269" s="100">
        <v>47</v>
      </c>
      <c r="E269" s="100" t="s">
        <v>504</v>
      </c>
      <c r="F269" s="101">
        <v>4.3499999999999996</v>
      </c>
      <c r="G269" s="101">
        <v>20445</v>
      </c>
      <c r="H269" s="100" t="s">
        <v>541</v>
      </c>
      <c r="I269" s="101">
        <v>2.14</v>
      </c>
      <c r="J269" s="101">
        <v>10089.49</v>
      </c>
      <c r="K269" s="100" t="s">
        <v>399</v>
      </c>
      <c r="L269" s="100">
        <v>10324.02</v>
      </c>
      <c r="M269" s="102">
        <v>5.9900000000000002E-2</v>
      </c>
      <c r="N269" s="100"/>
      <c r="O269" s="101">
        <f t="shared" si="25"/>
        <v>10355.51</v>
      </c>
      <c r="P269" s="101">
        <f t="shared" si="26"/>
        <v>20413.509999999998</v>
      </c>
      <c r="Q269" s="101">
        <f t="shared" si="24"/>
        <v>10089.490000000002</v>
      </c>
      <c r="R269" s="101">
        <f t="shared" si="27"/>
        <v>10324.019999999997</v>
      </c>
      <c r="S269" s="101">
        <f t="shared" si="28"/>
        <v>0</v>
      </c>
      <c r="T269" s="103">
        <f t="shared" si="29"/>
        <v>0</v>
      </c>
    </row>
    <row r="270" spans="2:20" x14ac:dyDescent="0.25">
      <c r="B270" s="99">
        <v>266</v>
      </c>
      <c r="C270" s="100" t="s">
        <v>522</v>
      </c>
      <c r="D270" s="100">
        <v>32</v>
      </c>
      <c r="E270" s="100" t="s">
        <v>542</v>
      </c>
      <c r="F270" s="101">
        <v>6.75</v>
      </c>
      <c r="G270" s="101">
        <v>21600</v>
      </c>
      <c r="H270" s="100" t="s">
        <v>543</v>
      </c>
      <c r="I270" s="101">
        <v>3.3</v>
      </c>
      <c r="J270" s="101">
        <v>10581.44</v>
      </c>
      <c r="K270" s="100" t="s">
        <v>399</v>
      </c>
      <c r="L270" s="100">
        <v>10997.12</v>
      </c>
      <c r="M270" s="102">
        <v>5.2299999999999999E-2</v>
      </c>
      <c r="N270" s="100"/>
      <c r="O270" s="101">
        <f t="shared" si="25"/>
        <v>11018.56</v>
      </c>
      <c r="P270" s="101">
        <f t="shared" si="26"/>
        <v>21578.560000000001</v>
      </c>
      <c r="Q270" s="101">
        <f t="shared" si="24"/>
        <v>10581.44</v>
      </c>
      <c r="R270" s="101">
        <f t="shared" si="27"/>
        <v>10997.12</v>
      </c>
      <c r="S270" s="101">
        <f t="shared" si="28"/>
        <v>0</v>
      </c>
      <c r="T270" s="103">
        <f t="shared" si="29"/>
        <v>0</v>
      </c>
    </row>
    <row r="271" spans="2:20" x14ac:dyDescent="0.25">
      <c r="B271" s="99">
        <v>267</v>
      </c>
      <c r="C271" s="100" t="s">
        <v>524</v>
      </c>
      <c r="D271" s="100">
        <v>61</v>
      </c>
      <c r="E271" s="100" t="s">
        <v>546</v>
      </c>
      <c r="F271" s="101">
        <v>3.55</v>
      </c>
      <c r="G271" s="101">
        <v>21655</v>
      </c>
      <c r="H271" s="100" t="s">
        <v>547</v>
      </c>
      <c r="I271" s="101">
        <v>1.55</v>
      </c>
      <c r="J271" s="101">
        <v>9495.8700000000008</v>
      </c>
      <c r="K271" s="100" t="s">
        <v>399</v>
      </c>
      <c r="L271" s="100">
        <v>12118.26</v>
      </c>
      <c r="M271" s="102">
        <v>5.1700000000000003E-2</v>
      </c>
      <c r="N271" s="100"/>
      <c r="O271" s="101">
        <f t="shared" si="25"/>
        <v>12159.13</v>
      </c>
      <c r="P271" s="101">
        <f t="shared" si="26"/>
        <v>21614.13</v>
      </c>
      <c r="Q271" s="101">
        <f t="shared" si="24"/>
        <v>9495.8700000000008</v>
      </c>
      <c r="R271" s="101">
        <f t="shared" si="27"/>
        <v>12118.26</v>
      </c>
      <c r="S271" s="101">
        <f t="shared" si="28"/>
        <v>0</v>
      </c>
      <c r="T271" s="103">
        <f t="shared" si="29"/>
        <v>0</v>
      </c>
    </row>
    <row r="272" spans="2:20" x14ac:dyDescent="0.25">
      <c r="B272" s="99">
        <v>268</v>
      </c>
      <c r="C272" s="100" t="s">
        <v>407</v>
      </c>
      <c r="D272" s="100">
        <v>5</v>
      </c>
      <c r="E272" s="100" t="s">
        <v>554</v>
      </c>
      <c r="F272" s="101">
        <v>35.35</v>
      </c>
      <c r="G272" s="101">
        <v>17675</v>
      </c>
      <c r="H272" s="100" t="s">
        <v>555</v>
      </c>
      <c r="I272" s="101">
        <v>10.15</v>
      </c>
      <c r="J272" s="101">
        <v>5078.3500000000004</v>
      </c>
      <c r="K272" s="100" t="s">
        <v>399</v>
      </c>
      <c r="L272" s="100">
        <v>12593.3</v>
      </c>
      <c r="M272" s="102">
        <v>6.5500000000000003E-2</v>
      </c>
      <c r="N272" s="100"/>
      <c r="O272" s="101">
        <f t="shared" si="25"/>
        <v>12596.65</v>
      </c>
      <c r="P272" s="101">
        <f t="shared" si="26"/>
        <v>17671.650000000001</v>
      </c>
      <c r="Q272" s="101">
        <f t="shared" si="24"/>
        <v>5078.3500000000004</v>
      </c>
      <c r="R272" s="101">
        <f t="shared" si="27"/>
        <v>12593.300000000001</v>
      </c>
      <c r="S272" s="101">
        <f t="shared" si="28"/>
        <v>0</v>
      </c>
      <c r="T272" s="103">
        <f t="shared" si="29"/>
        <v>0</v>
      </c>
    </row>
    <row r="273" spans="2:20" x14ac:dyDescent="0.25">
      <c r="B273" s="99">
        <v>269</v>
      </c>
      <c r="C273" s="100" t="s">
        <v>508</v>
      </c>
      <c r="D273" s="100">
        <v>41</v>
      </c>
      <c r="E273" s="100" t="s">
        <v>507</v>
      </c>
      <c r="F273" s="101">
        <v>5.25</v>
      </c>
      <c r="G273" s="101">
        <v>21525</v>
      </c>
      <c r="H273" s="100" t="s">
        <v>556</v>
      </c>
      <c r="I273" s="101">
        <v>2.5499999999999998</v>
      </c>
      <c r="J273" s="101">
        <v>10482.469999999999</v>
      </c>
      <c r="K273" s="100" t="s">
        <v>399</v>
      </c>
      <c r="L273" s="100">
        <v>11015.06</v>
      </c>
      <c r="M273" s="102">
        <v>0.06</v>
      </c>
      <c r="N273" s="100"/>
      <c r="O273" s="101">
        <f t="shared" si="25"/>
        <v>11042.53</v>
      </c>
      <c r="P273" s="101">
        <f t="shared" si="26"/>
        <v>21497.53</v>
      </c>
      <c r="Q273" s="101">
        <f t="shared" si="24"/>
        <v>10482.469999999999</v>
      </c>
      <c r="R273" s="101">
        <f t="shared" si="27"/>
        <v>11015.06</v>
      </c>
      <c r="S273" s="101">
        <f t="shared" si="28"/>
        <v>0</v>
      </c>
      <c r="T273" s="103">
        <f t="shared" si="29"/>
        <v>0</v>
      </c>
    </row>
    <row r="274" spans="2:20" x14ac:dyDescent="0.25">
      <c r="B274" s="99">
        <v>270</v>
      </c>
      <c r="C274" s="100" t="s">
        <v>508</v>
      </c>
      <c r="D274" s="100">
        <v>50</v>
      </c>
      <c r="E274" s="100" t="s">
        <v>557</v>
      </c>
      <c r="F274" s="101">
        <v>4.6500000000000004</v>
      </c>
      <c r="G274" s="101">
        <v>23250</v>
      </c>
      <c r="H274" s="100" t="s">
        <v>558</v>
      </c>
      <c r="I274" s="101">
        <v>2.3199999999999998</v>
      </c>
      <c r="J274" s="101">
        <v>11633.5</v>
      </c>
      <c r="K274" s="100" t="s">
        <v>399</v>
      </c>
      <c r="L274" s="100">
        <v>11583</v>
      </c>
      <c r="M274" s="102">
        <v>4.5999999999999999E-2</v>
      </c>
      <c r="N274" s="100"/>
      <c r="O274" s="101">
        <f t="shared" si="25"/>
        <v>11616.5</v>
      </c>
      <c r="P274" s="101">
        <f t="shared" si="26"/>
        <v>23216.500000000004</v>
      </c>
      <c r="Q274" s="101">
        <f t="shared" si="24"/>
        <v>11633.499999999998</v>
      </c>
      <c r="R274" s="101">
        <f t="shared" si="27"/>
        <v>11583.000000000005</v>
      </c>
      <c r="S274" s="101">
        <f t="shared" si="28"/>
        <v>0</v>
      </c>
      <c r="T274" s="103">
        <f t="shared" si="29"/>
        <v>0</v>
      </c>
    </row>
    <row r="275" spans="2:20" x14ac:dyDescent="0.25">
      <c r="B275" s="99">
        <v>271</v>
      </c>
      <c r="C275" s="100" t="s">
        <v>519</v>
      </c>
      <c r="D275" s="100">
        <v>61</v>
      </c>
      <c r="E275" s="100" t="s">
        <v>550</v>
      </c>
      <c r="F275" s="101">
        <v>4.0999999999999996</v>
      </c>
      <c r="G275" s="101">
        <v>25010</v>
      </c>
      <c r="H275" s="100" t="s">
        <v>559</v>
      </c>
      <c r="I275" s="101">
        <v>1.96</v>
      </c>
      <c r="J275" s="101">
        <v>11996.87</v>
      </c>
      <c r="K275" s="100" t="s">
        <v>399</v>
      </c>
      <c r="L275" s="100">
        <v>12972.26</v>
      </c>
      <c r="M275" s="102">
        <v>6.88E-2</v>
      </c>
      <c r="N275" s="100"/>
      <c r="O275" s="101">
        <f t="shared" si="25"/>
        <v>13013.13</v>
      </c>
      <c r="P275" s="101">
        <f t="shared" si="26"/>
        <v>24969.129999999997</v>
      </c>
      <c r="Q275" s="101">
        <f t="shared" si="24"/>
        <v>11996.87</v>
      </c>
      <c r="R275" s="101">
        <f t="shared" si="27"/>
        <v>12972.259999999997</v>
      </c>
      <c r="S275" s="101">
        <f t="shared" si="28"/>
        <v>0</v>
      </c>
      <c r="T275" s="103">
        <f t="shared" si="29"/>
        <v>0</v>
      </c>
    </row>
    <row r="276" spans="2:20" x14ac:dyDescent="0.25">
      <c r="B276" s="99">
        <v>272</v>
      </c>
      <c r="C276" s="100" t="s">
        <v>508</v>
      </c>
      <c r="D276" s="100">
        <v>58</v>
      </c>
      <c r="E276" s="100" t="s">
        <v>560</v>
      </c>
      <c r="F276" s="101">
        <v>4.25</v>
      </c>
      <c r="G276" s="101">
        <v>24650</v>
      </c>
      <c r="H276" s="100" t="s">
        <v>559</v>
      </c>
      <c r="I276" s="101">
        <v>1.82</v>
      </c>
      <c r="J276" s="101">
        <v>10594.86</v>
      </c>
      <c r="K276" s="100" t="s">
        <v>399</v>
      </c>
      <c r="L276" s="100">
        <v>14016.28</v>
      </c>
      <c r="M276" s="102">
        <v>5.9299999999999999E-2</v>
      </c>
      <c r="N276" s="100"/>
      <c r="O276" s="101">
        <f t="shared" si="25"/>
        <v>14055.14</v>
      </c>
      <c r="P276" s="101">
        <f t="shared" si="26"/>
        <v>24611.14</v>
      </c>
      <c r="Q276" s="101">
        <f t="shared" si="24"/>
        <v>10594.86</v>
      </c>
      <c r="R276" s="101">
        <f t="shared" si="27"/>
        <v>14016.279999999999</v>
      </c>
      <c r="S276" s="101">
        <f t="shared" si="28"/>
        <v>0</v>
      </c>
      <c r="T276" s="103">
        <f t="shared" si="29"/>
        <v>0</v>
      </c>
    </row>
    <row r="277" spans="2:20" x14ac:dyDescent="0.25">
      <c r="B277" s="99">
        <v>273</v>
      </c>
      <c r="C277" s="100" t="s">
        <v>508</v>
      </c>
      <c r="D277" s="100">
        <v>53</v>
      </c>
      <c r="E277" s="100" t="s">
        <v>561</v>
      </c>
      <c r="F277" s="101">
        <v>4.75</v>
      </c>
      <c r="G277" s="101">
        <v>25175</v>
      </c>
      <c r="H277" s="100" t="s">
        <v>562</v>
      </c>
      <c r="I277" s="101">
        <v>2.29</v>
      </c>
      <c r="J277" s="101">
        <v>12172.51</v>
      </c>
      <c r="K277" s="100" t="s">
        <v>399</v>
      </c>
      <c r="L277" s="100">
        <v>12966.98</v>
      </c>
      <c r="M277" s="102">
        <v>5.4100000000000002E-2</v>
      </c>
      <c r="N277" s="100"/>
      <c r="O277" s="101">
        <f t="shared" si="25"/>
        <v>13002.49</v>
      </c>
      <c r="P277" s="101">
        <f t="shared" si="26"/>
        <v>25139.49</v>
      </c>
      <c r="Q277" s="101">
        <f t="shared" si="24"/>
        <v>12172.51</v>
      </c>
      <c r="R277" s="101">
        <f t="shared" si="27"/>
        <v>12966.980000000001</v>
      </c>
      <c r="S277" s="101">
        <f t="shared" si="28"/>
        <v>0</v>
      </c>
      <c r="T277" s="103">
        <f t="shared" si="29"/>
        <v>0</v>
      </c>
    </row>
    <row r="278" spans="2:20" x14ac:dyDescent="0.25">
      <c r="B278" s="99">
        <v>274</v>
      </c>
      <c r="C278" s="100" t="s">
        <v>548</v>
      </c>
      <c r="D278" s="100">
        <v>37</v>
      </c>
      <c r="E278" s="100" t="s">
        <v>563</v>
      </c>
      <c r="F278" s="101">
        <v>5.8</v>
      </c>
      <c r="G278" s="101">
        <v>21460</v>
      </c>
      <c r="H278" s="100" t="s">
        <v>564</v>
      </c>
      <c r="I278" s="101">
        <v>2.6</v>
      </c>
      <c r="J278" s="101">
        <v>9644.7900000000009</v>
      </c>
      <c r="K278" s="100" t="s">
        <v>399</v>
      </c>
      <c r="L278" s="100">
        <v>11790.42</v>
      </c>
      <c r="M278" s="102">
        <v>0.19670000000000001</v>
      </c>
      <c r="N278" s="100"/>
      <c r="O278" s="101">
        <f t="shared" si="25"/>
        <v>11815.21</v>
      </c>
      <c r="P278" s="101">
        <f t="shared" si="26"/>
        <v>21435.21</v>
      </c>
      <c r="Q278" s="101">
        <f t="shared" si="24"/>
        <v>9644.7900000000009</v>
      </c>
      <c r="R278" s="101">
        <f t="shared" si="27"/>
        <v>11790.419999999998</v>
      </c>
      <c r="S278" s="101">
        <f t="shared" si="28"/>
        <v>0</v>
      </c>
      <c r="T278" s="103">
        <f t="shared" si="29"/>
        <v>0</v>
      </c>
    </row>
    <row r="279" spans="2:20" x14ac:dyDescent="0.25">
      <c r="B279" s="99">
        <v>275</v>
      </c>
      <c r="C279" s="100" t="s">
        <v>548</v>
      </c>
      <c r="D279" s="100">
        <v>34</v>
      </c>
      <c r="E279" s="100" t="s">
        <v>565</v>
      </c>
      <c r="F279" s="101">
        <v>6</v>
      </c>
      <c r="G279" s="101">
        <v>20400</v>
      </c>
      <c r="H279" s="100" t="s">
        <v>566</v>
      </c>
      <c r="I279" s="101">
        <v>3</v>
      </c>
      <c r="J279" s="101">
        <v>10222.780000000001</v>
      </c>
      <c r="K279" s="100" t="s">
        <v>399</v>
      </c>
      <c r="L279" s="100">
        <v>10154.44</v>
      </c>
      <c r="M279" s="102">
        <v>0.1757</v>
      </c>
      <c r="N279" s="100"/>
      <c r="O279" s="101">
        <f t="shared" si="25"/>
        <v>10177.219999999999</v>
      </c>
      <c r="P279" s="101">
        <f t="shared" si="26"/>
        <v>20377.22</v>
      </c>
      <c r="Q279" s="101">
        <f t="shared" si="24"/>
        <v>10222.780000000001</v>
      </c>
      <c r="R279" s="101">
        <f t="shared" si="27"/>
        <v>10154.44</v>
      </c>
      <c r="S279" s="101">
        <f t="shared" si="28"/>
        <v>0</v>
      </c>
      <c r="T279" s="103">
        <f t="shared" si="29"/>
        <v>0</v>
      </c>
    </row>
    <row r="280" spans="2:20" x14ac:dyDescent="0.25">
      <c r="B280" s="99">
        <v>276</v>
      </c>
      <c r="C280" s="100" t="s">
        <v>524</v>
      </c>
      <c r="D280" s="100">
        <v>52</v>
      </c>
      <c r="E280" s="100" t="s">
        <v>567</v>
      </c>
      <c r="F280" s="101">
        <v>4.3</v>
      </c>
      <c r="G280" s="101">
        <v>22360</v>
      </c>
      <c r="H280" s="100" t="s">
        <v>566</v>
      </c>
      <c r="I280" s="101">
        <v>1.98</v>
      </c>
      <c r="J280" s="101">
        <v>10330.84</v>
      </c>
      <c r="K280" s="100" t="s">
        <v>399</v>
      </c>
      <c r="L280" s="100">
        <v>11994.32</v>
      </c>
      <c r="M280" s="102">
        <v>6.4600000000000005E-2</v>
      </c>
      <c r="N280" s="100"/>
      <c r="O280" s="101">
        <f t="shared" si="25"/>
        <v>12029.16</v>
      </c>
      <c r="P280" s="101">
        <f t="shared" si="26"/>
        <v>22325.16</v>
      </c>
      <c r="Q280" s="101">
        <f t="shared" si="24"/>
        <v>10330.84</v>
      </c>
      <c r="R280" s="101">
        <f t="shared" si="27"/>
        <v>11994.32</v>
      </c>
      <c r="S280" s="101">
        <f t="shared" si="28"/>
        <v>0</v>
      </c>
      <c r="T280" s="103">
        <f t="shared" si="29"/>
        <v>0</v>
      </c>
    </row>
    <row r="281" spans="2:20" x14ac:dyDescent="0.25">
      <c r="B281" s="99">
        <v>277</v>
      </c>
      <c r="C281" s="100" t="s">
        <v>524</v>
      </c>
      <c r="D281" s="100">
        <v>51</v>
      </c>
      <c r="E281" s="100" t="s">
        <v>568</v>
      </c>
      <c r="F281" s="101">
        <v>4.5999999999999996</v>
      </c>
      <c r="G281" s="101">
        <v>23460</v>
      </c>
      <c r="H281" s="100" t="s">
        <v>569</v>
      </c>
      <c r="I281" s="101">
        <v>2.23</v>
      </c>
      <c r="J281" s="101">
        <v>11407.17</v>
      </c>
      <c r="K281" s="100" t="s">
        <v>399</v>
      </c>
      <c r="L281" s="100">
        <v>12018.66</v>
      </c>
      <c r="M281" s="102">
        <v>5.8299999999999998E-2</v>
      </c>
      <c r="N281" s="100"/>
      <c r="O281" s="101">
        <f t="shared" si="25"/>
        <v>12052.83</v>
      </c>
      <c r="P281" s="101">
        <f t="shared" si="26"/>
        <v>23425.83</v>
      </c>
      <c r="Q281" s="101">
        <f t="shared" ref="Q281:Q344" si="30">I281*D281*100 + D281*0.67</f>
        <v>11407.17</v>
      </c>
      <c r="R281" s="101">
        <f t="shared" si="27"/>
        <v>12018.660000000002</v>
      </c>
      <c r="S281" s="101">
        <f t="shared" si="28"/>
        <v>0</v>
      </c>
      <c r="T281" s="103">
        <f t="shared" si="29"/>
        <v>0</v>
      </c>
    </row>
    <row r="282" spans="2:20" x14ac:dyDescent="0.25">
      <c r="B282" s="99">
        <v>278</v>
      </c>
      <c r="C282" s="100" t="s">
        <v>519</v>
      </c>
      <c r="D282" s="100">
        <v>72</v>
      </c>
      <c r="E282" s="100" t="s">
        <v>570</v>
      </c>
      <c r="F282" s="101">
        <v>3.6</v>
      </c>
      <c r="G282" s="101">
        <v>25920</v>
      </c>
      <c r="H282" s="100" t="s">
        <v>571</v>
      </c>
      <c r="I282" s="101">
        <v>1.62</v>
      </c>
      <c r="J282" s="101">
        <v>11712.24</v>
      </c>
      <c r="K282" s="100" t="s">
        <v>399</v>
      </c>
      <c r="L282" s="100">
        <v>14159.52</v>
      </c>
      <c r="M282" s="102">
        <v>6.0699999999999997E-2</v>
      </c>
      <c r="N282" s="100"/>
      <c r="O282" s="101">
        <f t="shared" si="25"/>
        <v>14207.76</v>
      </c>
      <c r="P282" s="101">
        <f t="shared" si="26"/>
        <v>25871.759999999998</v>
      </c>
      <c r="Q282" s="101">
        <f t="shared" si="30"/>
        <v>11712.240000000002</v>
      </c>
      <c r="R282" s="101">
        <f t="shared" si="27"/>
        <v>14159.519999999997</v>
      </c>
      <c r="S282" s="101">
        <f t="shared" si="28"/>
        <v>0</v>
      </c>
      <c r="T282" s="103">
        <f t="shared" si="29"/>
        <v>0</v>
      </c>
    </row>
    <row r="283" spans="2:20" x14ac:dyDescent="0.25">
      <c r="B283" s="99">
        <v>279</v>
      </c>
      <c r="C283" s="100" t="s">
        <v>508</v>
      </c>
      <c r="D283" s="100">
        <v>40</v>
      </c>
      <c r="E283" s="100" t="s">
        <v>572</v>
      </c>
      <c r="F283" s="101">
        <v>6</v>
      </c>
      <c r="G283" s="101">
        <v>24000</v>
      </c>
      <c r="H283" s="100" t="s">
        <v>573</v>
      </c>
      <c r="I283" s="101">
        <v>2.62</v>
      </c>
      <c r="J283" s="101">
        <v>10506.8</v>
      </c>
      <c r="K283" s="100" t="s">
        <v>399</v>
      </c>
      <c r="L283" s="100">
        <v>13466.4</v>
      </c>
      <c r="M283" s="102">
        <v>6.8699999999999997E-2</v>
      </c>
      <c r="N283" s="100"/>
      <c r="O283" s="101">
        <f t="shared" si="25"/>
        <v>13493.2</v>
      </c>
      <c r="P283" s="101">
        <f t="shared" si="26"/>
        <v>23973.200000000001</v>
      </c>
      <c r="Q283" s="101">
        <f t="shared" si="30"/>
        <v>10506.800000000001</v>
      </c>
      <c r="R283" s="101">
        <f t="shared" si="27"/>
        <v>13466.4</v>
      </c>
      <c r="S283" s="101">
        <f t="shared" si="28"/>
        <v>0</v>
      </c>
      <c r="T283" s="103">
        <f t="shared" si="29"/>
        <v>0</v>
      </c>
    </row>
    <row r="284" spans="2:20" x14ac:dyDescent="0.25">
      <c r="B284" s="99">
        <v>280</v>
      </c>
      <c r="C284" s="100" t="s">
        <v>508</v>
      </c>
      <c r="D284" s="100">
        <v>34</v>
      </c>
      <c r="E284" s="100" t="s">
        <v>556</v>
      </c>
      <c r="F284" s="101">
        <v>7.6</v>
      </c>
      <c r="G284" s="101">
        <v>25840</v>
      </c>
      <c r="H284" s="100" t="s">
        <v>573</v>
      </c>
      <c r="I284" s="101">
        <v>3.6</v>
      </c>
      <c r="J284" s="101">
        <v>12262.78</v>
      </c>
      <c r="K284" s="100" t="s">
        <v>399</v>
      </c>
      <c r="L284" s="100">
        <v>13554.44</v>
      </c>
      <c r="M284" s="102">
        <v>7.6100000000000001E-2</v>
      </c>
      <c r="N284" s="100"/>
      <c r="O284" s="101">
        <f t="shared" si="25"/>
        <v>13577.22</v>
      </c>
      <c r="P284" s="101">
        <f t="shared" si="26"/>
        <v>25817.219999999998</v>
      </c>
      <c r="Q284" s="101">
        <f t="shared" si="30"/>
        <v>12262.78</v>
      </c>
      <c r="R284" s="101">
        <f t="shared" si="27"/>
        <v>13554.439999999997</v>
      </c>
      <c r="S284" s="101">
        <f t="shared" si="28"/>
        <v>0</v>
      </c>
      <c r="T284" s="103">
        <f t="shared" si="29"/>
        <v>0</v>
      </c>
    </row>
    <row r="285" spans="2:20" x14ac:dyDescent="0.25">
      <c r="B285" s="99">
        <v>281</v>
      </c>
      <c r="C285" s="100" t="s">
        <v>524</v>
      </c>
      <c r="D285" s="100">
        <v>52</v>
      </c>
      <c r="E285" s="100" t="s">
        <v>574</v>
      </c>
      <c r="F285" s="101">
        <v>4.7</v>
      </c>
      <c r="G285" s="101">
        <v>24440</v>
      </c>
      <c r="H285" s="100" t="s">
        <v>575</v>
      </c>
      <c r="I285" s="101">
        <v>2.19</v>
      </c>
      <c r="J285" s="101">
        <v>11422.84</v>
      </c>
      <c r="K285" s="100" t="s">
        <v>399</v>
      </c>
      <c r="L285" s="100">
        <v>12982.32</v>
      </c>
      <c r="M285" s="102">
        <v>5.5100000000000003E-2</v>
      </c>
      <c r="N285" s="100"/>
      <c r="O285" s="101">
        <f t="shared" si="25"/>
        <v>13017.16</v>
      </c>
      <c r="P285" s="101">
        <f t="shared" si="26"/>
        <v>24405.16</v>
      </c>
      <c r="Q285" s="101">
        <f t="shared" si="30"/>
        <v>11422.84</v>
      </c>
      <c r="R285" s="101">
        <f t="shared" si="27"/>
        <v>12982.32</v>
      </c>
      <c r="S285" s="101">
        <f t="shared" si="28"/>
        <v>0</v>
      </c>
      <c r="T285" s="103">
        <f t="shared" si="29"/>
        <v>0</v>
      </c>
    </row>
    <row r="286" spans="2:20" x14ac:dyDescent="0.25">
      <c r="B286" s="99">
        <v>282</v>
      </c>
      <c r="C286" s="100" t="s">
        <v>524</v>
      </c>
      <c r="D286" s="100">
        <v>48</v>
      </c>
      <c r="E286" s="100" t="s">
        <v>576</v>
      </c>
      <c r="F286" s="101">
        <v>5.15</v>
      </c>
      <c r="G286" s="101">
        <v>24720</v>
      </c>
      <c r="H286" s="100" t="s">
        <v>575</v>
      </c>
      <c r="I286" s="101">
        <v>2.4300000000000002</v>
      </c>
      <c r="J286" s="101">
        <v>11696.16</v>
      </c>
      <c r="K286" s="100" t="s">
        <v>399</v>
      </c>
      <c r="L286" s="100">
        <v>12991.68</v>
      </c>
      <c r="M286" s="102">
        <v>5.7799999999999997E-2</v>
      </c>
      <c r="N286" s="100"/>
      <c r="O286" s="101">
        <f t="shared" si="25"/>
        <v>13023.84</v>
      </c>
      <c r="P286" s="101">
        <f t="shared" si="26"/>
        <v>24687.84</v>
      </c>
      <c r="Q286" s="101">
        <f t="shared" si="30"/>
        <v>11696.160000000002</v>
      </c>
      <c r="R286" s="101">
        <f t="shared" si="27"/>
        <v>12991.679999999998</v>
      </c>
      <c r="S286" s="101">
        <f t="shared" si="28"/>
        <v>0</v>
      </c>
      <c r="T286" s="103">
        <f t="shared" si="29"/>
        <v>0</v>
      </c>
    </row>
    <row r="287" spans="2:20" x14ac:dyDescent="0.25">
      <c r="B287" s="99">
        <v>283</v>
      </c>
      <c r="C287" s="100" t="s">
        <v>524</v>
      </c>
      <c r="D287" s="100">
        <v>49</v>
      </c>
      <c r="E287" s="100" t="s">
        <v>577</v>
      </c>
      <c r="F287" s="101">
        <v>5.15</v>
      </c>
      <c r="G287" s="101">
        <v>25235</v>
      </c>
      <c r="H287" s="100" t="s">
        <v>575</v>
      </c>
      <c r="I287" s="101">
        <v>2.54</v>
      </c>
      <c r="J287" s="101">
        <v>12478.83</v>
      </c>
      <c r="K287" s="100" t="s">
        <v>399</v>
      </c>
      <c r="L287" s="100">
        <v>12723.34</v>
      </c>
      <c r="M287" s="102">
        <v>5.4300000000000001E-2</v>
      </c>
      <c r="N287" s="100"/>
      <c r="O287" s="101">
        <f t="shared" si="25"/>
        <v>12756.17</v>
      </c>
      <c r="P287" s="101">
        <f t="shared" si="26"/>
        <v>25202.170000000002</v>
      </c>
      <c r="Q287" s="101">
        <f t="shared" si="30"/>
        <v>12478.83</v>
      </c>
      <c r="R287" s="101">
        <f t="shared" si="27"/>
        <v>12723.340000000002</v>
      </c>
      <c r="S287" s="101">
        <f t="shared" si="28"/>
        <v>0</v>
      </c>
      <c r="T287" s="103">
        <f t="shared" si="29"/>
        <v>0</v>
      </c>
    </row>
    <row r="288" spans="2:20" x14ac:dyDescent="0.25">
      <c r="B288" s="99">
        <v>284</v>
      </c>
      <c r="C288" s="100" t="s">
        <v>524</v>
      </c>
      <c r="D288" s="100">
        <v>58</v>
      </c>
      <c r="E288" s="100" t="s">
        <v>555</v>
      </c>
      <c r="F288" s="101">
        <v>4.3499999999999996</v>
      </c>
      <c r="G288" s="101">
        <v>25230</v>
      </c>
      <c r="H288" s="100" t="s">
        <v>578</v>
      </c>
      <c r="I288" s="101">
        <v>2.1</v>
      </c>
      <c r="J288" s="101">
        <v>12218.86</v>
      </c>
      <c r="K288" s="100" t="s">
        <v>399</v>
      </c>
      <c r="L288" s="100">
        <v>12972.28</v>
      </c>
      <c r="M288" s="102">
        <v>4.7899999999999998E-2</v>
      </c>
      <c r="N288" s="100"/>
      <c r="O288" s="101">
        <f t="shared" si="25"/>
        <v>13011.14</v>
      </c>
      <c r="P288" s="101">
        <f t="shared" si="26"/>
        <v>25191.14</v>
      </c>
      <c r="Q288" s="101">
        <f t="shared" si="30"/>
        <v>12218.860000000002</v>
      </c>
      <c r="R288" s="101">
        <f t="shared" si="27"/>
        <v>12972.279999999997</v>
      </c>
      <c r="S288" s="101">
        <f t="shared" si="28"/>
        <v>0</v>
      </c>
      <c r="T288" s="103">
        <f t="shared" si="29"/>
        <v>0</v>
      </c>
    </row>
    <row r="289" spans="2:20" x14ac:dyDescent="0.25">
      <c r="B289" s="99">
        <v>285</v>
      </c>
      <c r="C289" s="100" t="s">
        <v>524</v>
      </c>
      <c r="D289" s="100">
        <v>57</v>
      </c>
      <c r="E289" s="100" t="s">
        <v>579</v>
      </c>
      <c r="F289" s="101">
        <v>4.55</v>
      </c>
      <c r="G289" s="101">
        <v>25935</v>
      </c>
      <c r="H289" s="100" t="s">
        <v>580</v>
      </c>
      <c r="I289" s="101">
        <v>2.1</v>
      </c>
      <c r="J289" s="101">
        <v>12008.19</v>
      </c>
      <c r="K289" s="100" t="s">
        <v>399</v>
      </c>
      <c r="L289" s="100">
        <v>13888.62</v>
      </c>
      <c r="M289" s="102">
        <v>4.9299999999999997E-2</v>
      </c>
      <c r="N289" s="100"/>
      <c r="O289" s="101">
        <f t="shared" si="25"/>
        <v>13926.81</v>
      </c>
      <c r="P289" s="101">
        <f t="shared" si="26"/>
        <v>25896.809999999998</v>
      </c>
      <c r="Q289" s="101">
        <f t="shared" si="30"/>
        <v>12008.19</v>
      </c>
      <c r="R289" s="101">
        <f t="shared" si="27"/>
        <v>13888.619999999997</v>
      </c>
      <c r="S289" s="101">
        <f t="shared" si="28"/>
        <v>0</v>
      </c>
      <c r="T289" s="103">
        <f t="shared" si="29"/>
        <v>0</v>
      </c>
    </row>
    <row r="290" spans="2:20" x14ac:dyDescent="0.25">
      <c r="B290" s="99">
        <v>286</v>
      </c>
      <c r="C290" s="100" t="s">
        <v>581</v>
      </c>
      <c r="D290" s="100">
        <v>69</v>
      </c>
      <c r="E290" s="100" t="s">
        <v>571</v>
      </c>
      <c r="F290" s="101">
        <v>4</v>
      </c>
      <c r="G290" s="101">
        <v>27600</v>
      </c>
      <c r="H290" s="100" t="s">
        <v>582</v>
      </c>
      <c r="I290" s="101">
        <v>1.85</v>
      </c>
      <c r="J290" s="101">
        <v>12811.23</v>
      </c>
      <c r="K290" s="100" t="s">
        <v>399</v>
      </c>
      <c r="L290" s="100">
        <v>14742.54</v>
      </c>
      <c r="M290" s="102">
        <v>0.1105</v>
      </c>
      <c r="N290" s="100"/>
      <c r="O290" s="101">
        <f t="shared" si="25"/>
        <v>14788.77</v>
      </c>
      <c r="P290" s="101">
        <f t="shared" si="26"/>
        <v>27553.77</v>
      </c>
      <c r="Q290" s="101">
        <f t="shared" si="30"/>
        <v>12811.23</v>
      </c>
      <c r="R290" s="101">
        <f t="shared" si="27"/>
        <v>14742.54</v>
      </c>
      <c r="S290" s="101">
        <f t="shared" si="28"/>
        <v>0</v>
      </c>
      <c r="T290" s="103">
        <f t="shared" si="29"/>
        <v>0</v>
      </c>
    </row>
    <row r="291" spans="2:20" x14ac:dyDescent="0.25">
      <c r="B291" s="99">
        <v>287</v>
      </c>
      <c r="C291" s="100" t="s">
        <v>581</v>
      </c>
      <c r="D291" s="100">
        <v>73</v>
      </c>
      <c r="E291" s="100" t="s">
        <v>569</v>
      </c>
      <c r="F291" s="101">
        <v>3.8</v>
      </c>
      <c r="G291" s="101">
        <v>27740</v>
      </c>
      <c r="H291" s="100" t="s">
        <v>583</v>
      </c>
      <c r="I291" s="101">
        <v>1.65</v>
      </c>
      <c r="J291" s="101">
        <v>12093.91</v>
      </c>
      <c r="K291" s="100" t="s">
        <v>399</v>
      </c>
      <c r="L291" s="100">
        <v>15597.18</v>
      </c>
      <c r="M291" s="102">
        <v>0.1075</v>
      </c>
      <c r="N291" s="100"/>
      <c r="O291" s="101">
        <f t="shared" si="25"/>
        <v>15646.09</v>
      </c>
      <c r="P291" s="101">
        <f t="shared" si="26"/>
        <v>27691.089999999997</v>
      </c>
      <c r="Q291" s="101">
        <f t="shared" si="30"/>
        <v>12093.909999999998</v>
      </c>
      <c r="R291" s="101">
        <f t="shared" si="27"/>
        <v>15597.179999999998</v>
      </c>
      <c r="S291" s="101">
        <f t="shared" si="28"/>
        <v>0</v>
      </c>
      <c r="T291" s="103">
        <f t="shared" si="29"/>
        <v>0</v>
      </c>
    </row>
    <row r="292" spans="2:20" x14ac:dyDescent="0.25">
      <c r="B292" s="99">
        <v>288</v>
      </c>
      <c r="C292" s="100" t="s">
        <v>529</v>
      </c>
      <c r="D292" s="100">
        <v>21</v>
      </c>
      <c r="E292" s="100" t="s">
        <v>584</v>
      </c>
      <c r="F292" s="101">
        <v>12.5</v>
      </c>
      <c r="G292" s="101">
        <v>26250</v>
      </c>
      <c r="H292" s="100" t="s">
        <v>585</v>
      </c>
      <c r="I292" s="101">
        <v>6.1</v>
      </c>
      <c r="J292" s="101">
        <v>12824.07</v>
      </c>
      <c r="K292" s="100" t="s">
        <v>399</v>
      </c>
      <c r="L292" s="100">
        <v>13411.86</v>
      </c>
      <c r="M292" s="102">
        <v>4.82E-2</v>
      </c>
      <c r="N292" s="100"/>
      <c r="O292" s="101">
        <f t="shared" si="25"/>
        <v>13425.93</v>
      </c>
      <c r="P292" s="101">
        <f t="shared" si="26"/>
        <v>26235.93</v>
      </c>
      <c r="Q292" s="101">
        <f t="shared" si="30"/>
        <v>12824.07</v>
      </c>
      <c r="R292" s="101">
        <f t="shared" si="27"/>
        <v>13411.86</v>
      </c>
      <c r="S292" s="101">
        <f t="shared" si="28"/>
        <v>0</v>
      </c>
      <c r="T292" s="103">
        <f t="shared" si="29"/>
        <v>0</v>
      </c>
    </row>
    <row r="293" spans="2:20" x14ac:dyDescent="0.25">
      <c r="B293" s="99">
        <v>289</v>
      </c>
      <c r="C293" s="100" t="s">
        <v>524</v>
      </c>
      <c r="D293" s="100">
        <v>44</v>
      </c>
      <c r="E293" s="100" t="s">
        <v>566</v>
      </c>
      <c r="F293" s="101">
        <v>6.2</v>
      </c>
      <c r="G293" s="101">
        <v>27280</v>
      </c>
      <c r="H293" s="100" t="s">
        <v>586</v>
      </c>
      <c r="I293" s="101">
        <v>3.1</v>
      </c>
      <c r="J293" s="101">
        <v>13669.48</v>
      </c>
      <c r="K293" s="100" t="s">
        <v>399</v>
      </c>
      <c r="L293" s="100">
        <v>13581.04</v>
      </c>
      <c r="M293" s="102">
        <v>6.3299999999999995E-2</v>
      </c>
      <c r="N293" s="100"/>
      <c r="O293" s="101">
        <f t="shared" si="25"/>
        <v>13610.52</v>
      </c>
      <c r="P293" s="101">
        <f t="shared" si="26"/>
        <v>27250.52</v>
      </c>
      <c r="Q293" s="101">
        <f t="shared" si="30"/>
        <v>13669.48</v>
      </c>
      <c r="R293" s="101">
        <f t="shared" si="27"/>
        <v>13581.04</v>
      </c>
      <c r="S293" s="101">
        <f t="shared" si="28"/>
        <v>0</v>
      </c>
      <c r="T293" s="103">
        <f t="shared" si="29"/>
        <v>0</v>
      </c>
    </row>
    <row r="294" spans="2:20" x14ac:dyDescent="0.25">
      <c r="B294" s="99">
        <v>290</v>
      </c>
      <c r="C294" s="100" t="s">
        <v>396</v>
      </c>
      <c r="D294" s="100">
        <v>39</v>
      </c>
      <c r="E294" s="100" t="s">
        <v>587</v>
      </c>
      <c r="F294" s="101">
        <v>6.1</v>
      </c>
      <c r="G294" s="101">
        <v>23790</v>
      </c>
      <c r="H294" s="100" t="s">
        <v>588</v>
      </c>
      <c r="I294" s="101">
        <v>2.91</v>
      </c>
      <c r="J294" s="101">
        <v>11375.13</v>
      </c>
      <c r="K294" s="100" t="s">
        <v>399</v>
      </c>
      <c r="L294" s="100">
        <v>12388.74</v>
      </c>
      <c r="M294" s="102">
        <v>4.9700000000000001E-2</v>
      </c>
      <c r="N294" s="100"/>
      <c r="O294" s="101">
        <f t="shared" si="25"/>
        <v>12414.87</v>
      </c>
      <c r="P294" s="101">
        <f t="shared" si="26"/>
        <v>23763.869999999995</v>
      </c>
      <c r="Q294" s="101">
        <f t="shared" si="30"/>
        <v>11375.13</v>
      </c>
      <c r="R294" s="101">
        <f t="shared" si="27"/>
        <v>12388.739999999996</v>
      </c>
      <c r="S294" s="101">
        <f t="shared" si="28"/>
        <v>0</v>
      </c>
      <c r="T294" s="103">
        <f t="shared" si="29"/>
        <v>0</v>
      </c>
    </row>
    <row r="295" spans="2:20" x14ac:dyDescent="0.25">
      <c r="B295" s="99">
        <v>291</v>
      </c>
      <c r="C295" s="100" t="s">
        <v>589</v>
      </c>
      <c r="D295" s="100">
        <v>27</v>
      </c>
      <c r="E295" s="100" t="s">
        <v>562</v>
      </c>
      <c r="F295" s="101">
        <v>10.050000000000001</v>
      </c>
      <c r="G295" s="101">
        <v>27135</v>
      </c>
      <c r="H295" s="100" t="s">
        <v>588</v>
      </c>
      <c r="I295" s="101">
        <v>4.7</v>
      </c>
      <c r="J295" s="101">
        <v>12708.09</v>
      </c>
      <c r="K295" s="100" t="s">
        <v>399</v>
      </c>
      <c r="L295" s="100">
        <v>14408.82</v>
      </c>
      <c r="M295" s="102">
        <v>5.0799999999999998E-2</v>
      </c>
      <c r="N295" s="100"/>
      <c r="O295" s="101">
        <f t="shared" si="25"/>
        <v>14426.91</v>
      </c>
      <c r="P295" s="101">
        <f t="shared" si="26"/>
        <v>27116.910000000003</v>
      </c>
      <c r="Q295" s="101">
        <f t="shared" si="30"/>
        <v>12708.09</v>
      </c>
      <c r="R295" s="101">
        <f t="shared" si="27"/>
        <v>14408.820000000003</v>
      </c>
      <c r="S295" s="101">
        <f t="shared" si="28"/>
        <v>0</v>
      </c>
      <c r="T295" s="103">
        <f t="shared" si="29"/>
        <v>0</v>
      </c>
    </row>
    <row r="296" spans="2:20" x14ac:dyDescent="0.25">
      <c r="B296" s="99">
        <v>292</v>
      </c>
      <c r="C296" s="100" t="s">
        <v>524</v>
      </c>
      <c r="D296" s="100">
        <v>66</v>
      </c>
      <c r="E296" s="100" t="s">
        <v>601</v>
      </c>
      <c r="F296" s="101">
        <v>4.25</v>
      </c>
      <c r="G296" s="101">
        <v>28050</v>
      </c>
      <c r="H296" s="100" t="s">
        <v>602</v>
      </c>
      <c r="I296" s="101">
        <v>2.06</v>
      </c>
      <c r="J296" s="101">
        <v>13640.22</v>
      </c>
      <c r="K296" s="100" t="s">
        <v>399</v>
      </c>
      <c r="L296" s="100">
        <v>14365.56</v>
      </c>
      <c r="M296" s="102">
        <v>4.7600000000000003E-2</v>
      </c>
      <c r="N296" s="100"/>
      <c r="O296" s="101">
        <f t="shared" si="25"/>
        <v>14409.78</v>
      </c>
      <c r="P296" s="101">
        <f t="shared" si="26"/>
        <v>28005.78</v>
      </c>
      <c r="Q296" s="101">
        <f t="shared" si="30"/>
        <v>13640.22</v>
      </c>
      <c r="R296" s="101">
        <f t="shared" si="27"/>
        <v>14365.56</v>
      </c>
      <c r="S296" s="101">
        <f t="shared" si="28"/>
        <v>0</v>
      </c>
      <c r="T296" s="103">
        <f t="shared" si="29"/>
        <v>0</v>
      </c>
    </row>
    <row r="297" spans="2:20" x14ac:dyDescent="0.25">
      <c r="B297" s="99">
        <v>293</v>
      </c>
      <c r="C297" s="100" t="s">
        <v>396</v>
      </c>
      <c r="D297" s="100">
        <v>38</v>
      </c>
      <c r="E297" s="100" t="s">
        <v>608</v>
      </c>
      <c r="F297" s="101">
        <v>6.4</v>
      </c>
      <c r="G297" s="101">
        <v>24320</v>
      </c>
      <c r="H297" s="100" t="s">
        <v>609</v>
      </c>
      <c r="I297" s="101">
        <v>2.91</v>
      </c>
      <c r="J297" s="101">
        <v>11083.46</v>
      </c>
      <c r="K297" s="100" t="s">
        <v>399</v>
      </c>
      <c r="L297" s="100">
        <v>13211.08</v>
      </c>
      <c r="M297" s="102">
        <v>5.2600000000000001E-2</v>
      </c>
      <c r="N297" s="100"/>
      <c r="O297" s="101">
        <f t="shared" si="25"/>
        <v>13236.54</v>
      </c>
      <c r="P297" s="101">
        <f t="shared" si="26"/>
        <v>24294.54</v>
      </c>
      <c r="Q297" s="101">
        <f t="shared" si="30"/>
        <v>11083.460000000001</v>
      </c>
      <c r="R297" s="101">
        <f t="shared" si="27"/>
        <v>13211.08</v>
      </c>
      <c r="S297" s="101">
        <f t="shared" si="28"/>
        <v>0</v>
      </c>
      <c r="T297" s="103">
        <f t="shared" si="29"/>
        <v>0</v>
      </c>
    </row>
    <row r="298" spans="2:20" x14ac:dyDescent="0.25">
      <c r="B298" s="99">
        <v>294</v>
      </c>
      <c r="C298" s="100" t="s">
        <v>519</v>
      </c>
      <c r="D298" s="100">
        <v>68</v>
      </c>
      <c r="E298" s="100" t="s">
        <v>604</v>
      </c>
      <c r="F298" s="101">
        <v>3.6</v>
      </c>
      <c r="G298" s="101">
        <v>24480</v>
      </c>
      <c r="H298" s="100" t="s">
        <v>610</v>
      </c>
      <c r="I298" s="101">
        <v>1.76</v>
      </c>
      <c r="J298" s="101">
        <v>12013.56</v>
      </c>
      <c r="K298" s="100" t="s">
        <v>399</v>
      </c>
      <c r="L298" s="100">
        <v>12420.88</v>
      </c>
      <c r="M298" s="102">
        <v>4.7600000000000003E-2</v>
      </c>
      <c r="N298" s="100"/>
      <c r="O298" s="101">
        <f t="shared" si="25"/>
        <v>12466.44</v>
      </c>
      <c r="P298" s="101">
        <f t="shared" si="26"/>
        <v>24434.44</v>
      </c>
      <c r="Q298" s="101">
        <f t="shared" si="30"/>
        <v>12013.56</v>
      </c>
      <c r="R298" s="101">
        <f t="shared" si="27"/>
        <v>12420.88</v>
      </c>
      <c r="S298" s="101">
        <f t="shared" si="28"/>
        <v>0</v>
      </c>
      <c r="T298" s="103">
        <f t="shared" si="29"/>
        <v>0</v>
      </c>
    </row>
    <row r="299" spans="2:20" x14ac:dyDescent="0.25">
      <c r="B299" s="99">
        <v>295</v>
      </c>
      <c r="C299" s="100" t="s">
        <v>396</v>
      </c>
      <c r="D299" s="100">
        <v>40</v>
      </c>
      <c r="E299" s="100" t="s">
        <v>611</v>
      </c>
      <c r="F299" s="101">
        <v>6.45</v>
      </c>
      <c r="G299" s="101">
        <v>25800</v>
      </c>
      <c r="H299" s="100" t="s">
        <v>612</v>
      </c>
      <c r="I299" s="101">
        <v>2.97</v>
      </c>
      <c r="J299" s="101">
        <v>11906.8</v>
      </c>
      <c r="K299" s="100" t="s">
        <v>399</v>
      </c>
      <c r="L299" s="100">
        <v>13866.4</v>
      </c>
      <c r="M299" s="102">
        <v>5.0599999999999999E-2</v>
      </c>
      <c r="N299" s="100"/>
      <c r="O299" s="101">
        <f t="shared" si="25"/>
        <v>13893.2</v>
      </c>
      <c r="P299" s="101">
        <f t="shared" si="26"/>
        <v>25773.200000000001</v>
      </c>
      <c r="Q299" s="101">
        <f t="shared" si="30"/>
        <v>11906.800000000001</v>
      </c>
      <c r="R299" s="101">
        <f t="shared" si="27"/>
        <v>13866.4</v>
      </c>
      <c r="S299" s="101">
        <f t="shared" si="28"/>
        <v>0</v>
      </c>
      <c r="T299" s="103">
        <f t="shared" si="29"/>
        <v>0</v>
      </c>
    </row>
    <row r="300" spans="2:20" x14ac:dyDescent="0.25">
      <c r="B300" s="99">
        <v>296</v>
      </c>
      <c r="C300" s="100" t="s">
        <v>548</v>
      </c>
      <c r="D300" s="100">
        <v>32</v>
      </c>
      <c r="E300" s="100" t="s">
        <v>613</v>
      </c>
      <c r="F300" s="101">
        <v>8</v>
      </c>
      <c r="G300" s="101">
        <v>25600</v>
      </c>
      <c r="H300" s="100" t="s">
        <v>614</v>
      </c>
      <c r="I300" s="101">
        <v>0.6</v>
      </c>
      <c r="J300" s="101">
        <v>1941.44</v>
      </c>
      <c r="K300" s="100" t="s">
        <v>399</v>
      </c>
      <c r="L300" s="100">
        <v>23637.119999999999</v>
      </c>
      <c r="M300" s="102">
        <v>0.33579999999999999</v>
      </c>
      <c r="N300" s="100"/>
      <c r="O300" s="101">
        <f t="shared" si="25"/>
        <v>23658.560000000001</v>
      </c>
      <c r="P300" s="101">
        <f t="shared" si="26"/>
        <v>25578.560000000001</v>
      </c>
      <c r="Q300" s="101">
        <f t="shared" si="30"/>
        <v>1941.44</v>
      </c>
      <c r="R300" s="101">
        <f t="shared" si="27"/>
        <v>23637.120000000003</v>
      </c>
      <c r="S300" s="101">
        <f t="shared" si="28"/>
        <v>0</v>
      </c>
      <c r="T300" s="103">
        <f t="shared" si="29"/>
        <v>0</v>
      </c>
    </row>
    <row r="301" spans="2:20" x14ac:dyDescent="0.25">
      <c r="B301" s="99">
        <v>297</v>
      </c>
      <c r="C301" s="100" t="s">
        <v>615</v>
      </c>
      <c r="D301" s="100">
        <v>6</v>
      </c>
      <c r="E301" s="100" t="s">
        <v>616</v>
      </c>
      <c r="F301" s="101">
        <v>38.5</v>
      </c>
      <c r="G301" s="101">
        <v>23100</v>
      </c>
      <c r="H301" s="100" t="s">
        <v>614</v>
      </c>
      <c r="I301" s="101">
        <v>0.9</v>
      </c>
      <c r="J301" s="101">
        <v>544.02</v>
      </c>
      <c r="K301" s="100" t="s">
        <v>399</v>
      </c>
      <c r="L301" s="100">
        <v>22551.96</v>
      </c>
      <c r="M301" s="102">
        <v>0.4345</v>
      </c>
      <c r="N301" s="100"/>
      <c r="O301" s="101">
        <f t="shared" si="25"/>
        <v>22555.98</v>
      </c>
      <c r="P301" s="101">
        <f t="shared" si="26"/>
        <v>23095.98</v>
      </c>
      <c r="Q301" s="101">
        <f t="shared" si="30"/>
        <v>544.02</v>
      </c>
      <c r="R301" s="101">
        <f t="shared" si="27"/>
        <v>22551.96</v>
      </c>
      <c r="S301" s="101">
        <f t="shared" si="28"/>
        <v>0</v>
      </c>
      <c r="T301" s="103">
        <f t="shared" si="29"/>
        <v>0</v>
      </c>
    </row>
    <row r="302" spans="2:20" x14ac:dyDescent="0.25">
      <c r="B302" s="99">
        <v>298</v>
      </c>
      <c r="C302" s="100" t="s">
        <v>581</v>
      </c>
      <c r="D302" s="100">
        <v>47</v>
      </c>
      <c r="E302" s="100" t="s">
        <v>617</v>
      </c>
      <c r="F302" s="101">
        <v>5.3</v>
      </c>
      <c r="G302" s="101">
        <v>24910</v>
      </c>
      <c r="H302" s="100" t="s">
        <v>618</v>
      </c>
      <c r="I302" s="101">
        <v>2.6</v>
      </c>
      <c r="J302" s="101">
        <v>12251.49</v>
      </c>
      <c r="K302" s="100" t="s">
        <v>399</v>
      </c>
      <c r="L302" s="100">
        <v>12627.02</v>
      </c>
      <c r="M302" s="102">
        <v>0.12379999999999999</v>
      </c>
      <c r="N302" s="100"/>
      <c r="O302" s="101">
        <f t="shared" si="25"/>
        <v>12658.51</v>
      </c>
      <c r="P302" s="101">
        <f t="shared" si="26"/>
        <v>24878.51</v>
      </c>
      <c r="Q302" s="101">
        <f t="shared" si="30"/>
        <v>12251.49</v>
      </c>
      <c r="R302" s="101">
        <f t="shared" si="27"/>
        <v>12627.019999999999</v>
      </c>
      <c r="S302" s="101">
        <f t="shared" si="28"/>
        <v>0</v>
      </c>
      <c r="T302" s="103">
        <f t="shared" si="29"/>
        <v>0</v>
      </c>
    </row>
    <row r="303" spans="2:20" x14ac:dyDescent="0.25">
      <c r="B303" s="99">
        <v>299</v>
      </c>
      <c r="C303" s="100" t="s">
        <v>581</v>
      </c>
      <c r="D303" s="100">
        <v>49</v>
      </c>
      <c r="E303" s="100" t="s">
        <v>619</v>
      </c>
      <c r="F303" s="101">
        <v>5.0999999999999996</v>
      </c>
      <c r="G303" s="101">
        <v>24990</v>
      </c>
      <c r="H303" s="100" t="s">
        <v>618</v>
      </c>
      <c r="I303" s="101">
        <v>2.5499999999999998</v>
      </c>
      <c r="J303" s="101">
        <v>12527.83</v>
      </c>
      <c r="K303" s="100" t="s">
        <v>399</v>
      </c>
      <c r="L303" s="100">
        <v>12429.34</v>
      </c>
      <c r="M303" s="102">
        <v>0.1176</v>
      </c>
      <c r="N303" s="100"/>
      <c r="O303" s="101">
        <f t="shared" si="25"/>
        <v>12462.17</v>
      </c>
      <c r="P303" s="101">
        <f t="shared" si="26"/>
        <v>24957.169999999995</v>
      </c>
      <c r="Q303" s="101">
        <f t="shared" si="30"/>
        <v>12527.829999999998</v>
      </c>
      <c r="R303" s="101">
        <f t="shared" si="27"/>
        <v>12429.339999999997</v>
      </c>
      <c r="S303" s="101">
        <f t="shared" si="28"/>
        <v>0</v>
      </c>
      <c r="T303" s="103">
        <f t="shared" si="29"/>
        <v>0</v>
      </c>
    </row>
    <row r="304" spans="2:20" x14ac:dyDescent="0.25">
      <c r="B304" s="99">
        <v>300</v>
      </c>
      <c r="C304" s="100" t="s">
        <v>548</v>
      </c>
      <c r="D304" s="100">
        <v>33</v>
      </c>
      <c r="E304" s="100" t="s">
        <v>618</v>
      </c>
      <c r="F304" s="101">
        <v>8.5</v>
      </c>
      <c r="G304" s="101">
        <v>28050</v>
      </c>
      <c r="H304" s="100" t="s">
        <v>620</v>
      </c>
      <c r="I304" s="101">
        <v>0.5</v>
      </c>
      <c r="J304" s="101">
        <v>1672.11</v>
      </c>
      <c r="K304" s="100" t="s">
        <v>399</v>
      </c>
      <c r="L304" s="100">
        <v>26355.78</v>
      </c>
      <c r="M304" s="102">
        <v>0.3715</v>
      </c>
      <c r="N304" s="100"/>
      <c r="O304" s="101">
        <f t="shared" si="25"/>
        <v>26377.89</v>
      </c>
      <c r="P304" s="101">
        <f t="shared" si="26"/>
        <v>28027.89</v>
      </c>
      <c r="Q304" s="101">
        <f t="shared" si="30"/>
        <v>1672.11</v>
      </c>
      <c r="R304" s="101">
        <f t="shared" si="27"/>
        <v>26355.78</v>
      </c>
      <c r="S304" s="101">
        <f t="shared" si="28"/>
        <v>0</v>
      </c>
      <c r="T304" s="103">
        <f t="shared" si="29"/>
        <v>0</v>
      </c>
    </row>
    <row r="305" spans="2:20" x14ac:dyDescent="0.25">
      <c r="B305" s="99">
        <v>301</v>
      </c>
      <c r="C305" s="100" t="s">
        <v>581</v>
      </c>
      <c r="D305" s="100">
        <v>49</v>
      </c>
      <c r="E305" s="100" t="s">
        <v>624</v>
      </c>
      <c r="F305" s="101">
        <v>5.2</v>
      </c>
      <c r="G305" s="101">
        <v>25480</v>
      </c>
      <c r="H305" s="100" t="s">
        <v>625</v>
      </c>
      <c r="I305" s="101">
        <v>2.5</v>
      </c>
      <c r="J305" s="101">
        <v>12282.83</v>
      </c>
      <c r="K305" s="100" t="s">
        <v>399</v>
      </c>
      <c r="L305" s="100">
        <v>13164.34</v>
      </c>
      <c r="M305" s="102">
        <v>0.1145</v>
      </c>
      <c r="N305" s="100"/>
      <c r="O305" s="101">
        <f t="shared" si="25"/>
        <v>13197.17</v>
      </c>
      <c r="P305" s="101">
        <f t="shared" si="26"/>
        <v>25447.17</v>
      </c>
      <c r="Q305" s="101">
        <f t="shared" si="30"/>
        <v>12282.83</v>
      </c>
      <c r="R305" s="101">
        <f t="shared" si="27"/>
        <v>13164.339999999998</v>
      </c>
      <c r="S305" s="101">
        <f t="shared" si="28"/>
        <v>0</v>
      </c>
      <c r="T305" s="103">
        <f t="shared" si="29"/>
        <v>0</v>
      </c>
    </row>
    <row r="306" spans="2:20" x14ac:dyDescent="0.25">
      <c r="B306" s="99">
        <v>302</v>
      </c>
      <c r="C306" s="100" t="s">
        <v>581</v>
      </c>
      <c r="D306" s="100">
        <v>51</v>
      </c>
      <c r="E306" s="100" t="s">
        <v>626</v>
      </c>
      <c r="F306" s="101">
        <v>5</v>
      </c>
      <c r="G306" s="101">
        <v>25500</v>
      </c>
      <c r="H306" s="100" t="s">
        <v>625</v>
      </c>
      <c r="I306" s="101">
        <v>2.4500000000000002</v>
      </c>
      <c r="J306" s="101">
        <v>12529.17</v>
      </c>
      <c r="K306" s="100" t="s">
        <v>399</v>
      </c>
      <c r="L306" s="100">
        <v>12936.66</v>
      </c>
      <c r="M306" s="102">
        <v>0.1087</v>
      </c>
      <c r="N306" s="100"/>
      <c r="O306" s="101">
        <f t="shared" si="25"/>
        <v>12970.83</v>
      </c>
      <c r="P306" s="101">
        <f t="shared" si="26"/>
        <v>25465.83</v>
      </c>
      <c r="Q306" s="101">
        <f t="shared" si="30"/>
        <v>12529.17</v>
      </c>
      <c r="R306" s="101">
        <f t="shared" si="27"/>
        <v>12936.660000000002</v>
      </c>
      <c r="S306" s="101">
        <f t="shared" si="28"/>
        <v>0</v>
      </c>
      <c r="T306" s="103">
        <f t="shared" si="29"/>
        <v>0</v>
      </c>
    </row>
    <row r="307" spans="2:20" x14ac:dyDescent="0.25">
      <c r="B307" s="99">
        <v>303</v>
      </c>
      <c r="C307" s="100" t="s">
        <v>524</v>
      </c>
      <c r="D307" s="100">
        <v>45</v>
      </c>
      <c r="E307" s="100" t="s">
        <v>590</v>
      </c>
      <c r="F307" s="101">
        <v>6.15</v>
      </c>
      <c r="G307" s="101">
        <v>27675</v>
      </c>
      <c r="H307" s="100" t="s">
        <v>627</v>
      </c>
      <c r="I307" s="101">
        <v>3</v>
      </c>
      <c r="J307" s="101">
        <v>13530.15</v>
      </c>
      <c r="K307" s="100" t="s">
        <v>399</v>
      </c>
      <c r="L307" s="100">
        <v>14114.7</v>
      </c>
      <c r="M307" s="102">
        <v>5.33E-2</v>
      </c>
      <c r="N307" s="100"/>
      <c r="O307" s="101">
        <f t="shared" si="25"/>
        <v>14144.85</v>
      </c>
      <c r="P307" s="101">
        <f t="shared" si="26"/>
        <v>27644.85</v>
      </c>
      <c r="Q307" s="101">
        <f t="shared" si="30"/>
        <v>13530.15</v>
      </c>
      <c r="R307" s="101">
        <f t="shared" si="27"/>
        <v>14114.699999999999</v>
      </c>
      <c r="S307" s="101">
        <f t="shared" si="28"/>
        <v>0</v>
      </c>
      <c r="T307" s="103">
        <f t="shared" si="29"/>
        <v>0</v>
      </c>
    </row>
    <row r="308" spans="2:20" x14ac:dyDescent="0.25">
      <c r="B308" s="99">
        <v>304</v>
      </c>
      <c r="C308" s="100" t="s">
        <v>524</v>
      </c>
      <c r="D308" s="100">
        <v>47</v>
      </c>
      <c r="E308" s="100" t="s">
        <v>602</v>
      </c>
      <c r="F308" s="101">
        <v>5.65</v>
      </c>
      <c r="G308" s="101">
        <v>26555</v>
      </c>
      <c r="H308" s="100" t="s">
        <v>628</v>
      </c>
      <c r="I308" s="101">
        <v>2.82</v>
      </c>
      <c r="J308" s="101">
        <v>13285.49</v>
      </c>
      <c r="K308" s="100" t="s">
        <v>399</v>
      </c>
      <c r="L308" s="100">
        <v>13238.02</v>
      </c>
      <c r="M308" s="102">
        <v>4.6699999999999998E-2</v>
      </c>
      <c r="N308" s="100"/>
      <c r="O308" s="101">
        <f t="shared" si="25"/>
        <v>13269.51</v>
      </c>
      <c r="P308" s="101">
        <f t="shared" si="26"/>
        <v>26523.51</v>
      </c>
      <c r="Q308" s="101">
        <f t="shared" si="30"/>
        <v>13285.49</v>
      </c>
      <c r="R308" s="101">
        <f t="shared" si="27"/>
        <v>13238.019999999999</v>
      </c>
      <c r="S308" s="101">
        <f t="shared" si="28"/>
        <v>0</v>
      </c>
      <c r="T308" s="103">
        <f t="shared" si="29"/>
        <v>0</v>
      </c>
    </row>
    <row r="309" spans="2:20" x14ac:dyDescent="0.25">
      <c r="B309" s="99">
        <v>305</v>
      </c>
      <c r="C309" s="100" t="s">
        <v>581</v>
      </c>
      <c r="D309" s="100">
        <v>51</v>
      </c>
      <c r="E309" s="100" t="s">
        <v>629</v>
      </c>
      <c r="F309" s="101">
        <v>5</v>
      </c>
      <c r="G309" s="101">
        <v>25500</v>
      </c>
      <c r="H309" s="100" t="s">
        <v>628</v>
      </c>
      <c r="I309" s="101">
        <v>2.35</v>
      </c>
      <c r="J309" s="101">
        <v>12019.17</v>
      </c>
      <c r="K309" s="100" t="s">
        <v>399</v>
      </c>
      <c r="L309" s="100">
        <v>13446.66</v>
      </c>
      <c r="M309" s="102">
        <v>0.1084</v>
      </c>
      <c r="N309" s="100"/>
      <c r="O309" s="101">
        <f t="shared" si="25"/>
        <v>13480.83</v>
      </c>
      <c r="P309" s="101">
        <f t="shared" si="26"/>
        <v>25465.83</v>
      </c>
      <c r="Q309" s="101">
        <f t="shared" si="30"/>
        <v>12019.17</v>
      </c>
      <c r="R309" s="101">
        <f t="shared" si="27"/>
        <v>13446.660000000002</v>
      </c>
      <c r="S309" s="101">
        <f t="shared" si="28"/>
        <v>0</v>
      </c>
      <c r="T309" s="103">
        <f t="shared" si="29"/>
        <v>0</v>
      </c>
    </row>
    <row r="310" spans="2:20" x14ac:dyDescent="0.25">
      <c r="B310" s="99">
        <v>306</v>
      </c>
      <c r="C310" s="100" t="s">
        <v>581</v>
      </c>
      <c r="D310" s="100">
        <v>50</v>
      </c>
      <c r="E310" s="100" t="s">
        <v>609</v>
      </c>
      <c r="F310" s="101">
        <v>5.0999999999999996</v>
      </c>
      <c r="G310" s="101">
        <v>25500</v>
      </c>
      <c r="H310" s="100" t="s">
        <v>628</v>
      </c>
      <c r="I310" s="101">
        <v>2.4500000000000002</v>
      </c>
      <c r="J310" s="101">
        <v>12283.5</v>
      </c>
      <c r="K310" s="100" t="s">
        <v>399</v>
      </c>
      <c r="L310" s="100">
        <v>13183</v>
      </c>
      <c r="M310" s="102">
        <v>0.10589999999999999</v>
      </c>
      <c r="N310" s="100"/>
      <c r="O310" s="101">
        <f t="shared" si="25"/>
        <v>13216.5</v>
      </c>
      <c r="P310" s="101">
        <f t="shared" si="26"/>
        <v>25466.499999999996</v>
      </c>
      <c r="Q310" s="101">
        <f t="shared" si="30"/>
        <v>12283.500000000002</v>
      </c>
      <c r="R310" s="101">
        <f t="shared" si="27"/>
        <v>13182.999999999995</v>
      </c>
      <c r="S310" s="101">
        <f t="shared" si="28"/>
        <v>0</v>
      </c>
      <c r="T310" s="103">
        <f t="shared" si="29"/>
        <v>0</v>
      </c>
    </row>
    <row r="311" spans="2:20" x14ac:dyDescent="0.25">
      <c r="B311" s="99">
        <v>307</v>
      </c>
      <c r="C311" s="100" t="s">
        <v>581</v>
      </c>
      <c r="D311" s="100">
        <v>49</v>
      </c>
      <c r="E311" s="100" t="s">
        <v>630</v>
      </c>
      <c r="F311" s="101">
        <v>5.3</v>
      </c>
      <c r="G311" s="101">
        <v>25970</v>
      </c>
      <c r="H311" s="100" t="s">
        <v>628</v>
      </c>
      <c r="I311" s="101">
        <v>2.5499999999999998</v>
      </c>
      <c r="J311" s="101">
        <v>12527.83</v>
      </c>
      <c r="K311" s="100" t="s">
        <v>399</v>
      </c>
      <c r="L311" s="100">
        <v>13409.34</v>
      </c>
      <c r="M311" s="102">
        <v>0.10929999999999999</v>
      </c>
      <c r="N311" s="100"/>
      <c r="O311" s="101">
        <f t="shared" si="25"/>
        <v>13442.17</v>
      </c>
      <c r="P311" s="101">
        <f t="shared" si="26"/>
        <v>25937.17</v>
      </c>
      <c r="Q311" s="101">
        <f t="shared" si="30"/>
        <v>12527.829999999998</v>
      </c>
      <c r="R311" s="101">
        <f t="shared" si="27"/>
        <v>13409.34</v>
      </c>
      <c r="S311" s="101">
        <f t="shared" si="28"/>
        <v>0</v>
      </c>
      <c r="T311" s="103">
        <f t="shared" si="29"/>
        <v>0</v>
      </c>
    </row>
    <row r="312" spans="2:20" x14ac:dyDescent="0.25">
      <c r="B312" s="99">
        <v>308</v>
      </c>
      <c r="C312" s="100" t="s">
        <v>524</v>
      </c>
      <c r="D312" s="100">
        <v>45</v>
      </c>
      <c r="E312" s="100" t="s">
        <v>631</v>
      </c>
      <c r="F312" s="101">
        <v>5.75</v>
      </c>
      <c r="G312" s="101">
        <v>25875</v>
      </c>
      <c r="H312" s="100" t="s">
        <v>632</v>
      </c>
      <c r="I312" s="101">
        <v>2.78</v>
      </c>
      <c r="J312" s="101">
        <v>12540.15</v>
      </c>
      <c r="K312" s="100" t="s">
        <v>399</v>
      </c>
      <c r="L312" s="100">
        <v>13304.7</v>
      </c>
      <c r="M312" s="102">
        <v>4.7500000000000001E-2</v>
      </c>
      <c r="N312" s="100"/>
      <c r="O312" s="101">
        <f t="shared" si="25"/>
        <v>13334.85</v>
      </c>
      <c r="P312" s="101">
        <f t="shared" si="26"/>
        <v>25844.85</v>
      </c>
      <c r="Q312" s="101">
        <f t="shared" si="30"/>
        <v>12540.15</v>
      </c>
      <c r="R312" s="101">
        <f t="shared" si="27"/>
        <v>13304.699999999999</v>
      </c>
      <c r="S312" s="101">
        <f t="shared" si="28"/>
        <v>0</v>
      </c>
      <c r="T312" s="103">
        <f t="shared" si="29"/>
        <v>0</v>
      </c>
    </row>
    <row r="313" spans="2:20" x14ac:dyDescent="0.25">
      <c r="B313" s="99">
        <v>309</v>
      </c>
      <c r="C313" s="100" t="s">
        <v>529</v>
      </c>
      <c r="D313" s="100">
        <v>18</v>
      </c>
      <c r="E313" s="100" t="s">
        <v>633</v>
      </c>
      <c r="F313" s="101">
        <v>14.25</v>
      </c>
      <c r="G313" s="101">
        <v>25650</v>
      </c>
      <c r="H313" s="100" t="s">
        <v>634</v>
      </c>
      <c r="I313" s="101">
        <v>7</v>
      </c>
      <c r="J313" s="101">
        <v>12612.06</v>
      </c>
      <c r="K313" s="100" t="s">
        <v>399</v>
      </c>
      <c r="L313" s="100">
        <v>13025.88</v>
      </c>
      <c r="M313" s="102">
        <v>4.8000000000000001E-2</v>
      </c>
      <c r="N313" s="100"/>
      <c r="O313" s="101">
        <f t="shared" si="25"/>
        <v>13037.94</v>
      </c>
      <c r="P313" s="101">
        <f t="shared" si="26"/>
        <v>25637.94</v>
      </c>
      <c r="Q313" s="101">
        <f t="shared" si="30"/>
        <v>12612.06</v>
      </c>
      <c r="R313" s="101">
        <f t="shared" si="27"/>
        <v>13025.88</v>
      </c>
      <c r="S313" s="101">
        <f t="shared" si="28"/>
        <v>0</v>
      </c>
      <c r="T313" s="103">
        <f t="shared" si="29"/>
        <v>0</v>
      </c>
    </row>
    <row r="314" spans="2:20" x14ac:dyDescent="0.25">
      <c r="B314" s="99">
        <v>310</v>
      </c>
      <c r="C314" s="100" t="s">
        <v>635</v>
      </c>
      <c r="D314" s="100">
        <v>10</v>
      </c>
      <c r="E314" s="100" t="s">
        <v>628</v>
      </c>
      <c r="F314" s="101">
        <v>28.8</v>
      </c>
      <c r="G314" s="101">
        <v>28800</v>
      </c>
      <c r="H314" s="100" t="s">
        <v>636</v>
      </c>
      <c r="I314" s="101">
        <v>1.45</v>
      </c>
      <c r="J314" s="101">
        <v>1456.7</v>
      </c>
      <c r="K314" s="100" t="s">
        <v>399</v>
      </c>
      <c r="L314" s="100">
        <v>27336.6</v>
      </c>
      <c r="M314" s="102">
        <v>0.25740000000000002</v>
      </c>
      <c r="N314" s="100"/>
      <c r="O314" s="101">
        <f t="shared" si="25"/>
        <v>27343.3</v>
      </c>
      <c r="P314" s="101">
        <f t="shared" si="26"/>
        <v>28793.3</v>
      </c>
      <c r="Q314" s="101">
        <f t="shared" si="30"/>
        <v>1456.7</v>
      </c>
      <c r="R314" s="101">
        <f t="shared" si="27"/>
        <v>27336.6</v>
      </c>
      <c r="S314" s="101">
        <f t="shared" si="28"/>
        <v>0</v>
      </c>
      <c r="T314" s="103">
        <f t="shared" si="29"/>
        <v>0</v>
      </c>
    </row>
    <row r="315" spans="2:20" x14ac:dyDescent="0.25">
      <c r="B315" s="99">
        <v>311</v>
      </c>
      <c r="C315" s="100" t="s">
        <v>635</v>
      </c>
      <c r="D315" s="100">
        <v>11</v>
      </c>
      <c r="E315" s="100" t="s">
        <v>637</v>
      </c>
      <c r="F315" s="101">
        <v>25.8</v>
      </c>
      <c r="G315" s="101">
        <v>28380</v>
      </c>
      <c r="H315" s="100" t="s">
        <v>636</v>
      </c>
      <c r="I315" s="101">
        <v>1.1499999999999999</v>
      </c>
      <c r="J315" s="101">
        <v>1272.3699999999999</v>
      </c>
      <c r="K315" s="100" t="s">
        <v>399</v>
      </c>
      <c r="L315" s="100">
        <v>27100.26</v>
      </c>
      <c r="M315" s="102">
        <v>0.2364</v>
      </c>
      <c r="N315" s="100"/>
      <c r="O315" s="101">
        <f t="shared" si="25"/>
        <v>27107.63</v>
      </c>
      <c r="P315" s="101">
        <f t="shared" si="26"/>
        <v>28372.63</v>
      </c>
      <c r="Q315" s="101">
        <f t="shared" si="30"/>
        <v>1272.3699999999997</v>
      </c>
      <c r="R315" s="101">
        <f t="shared" si="27"/>
        <v>27100.260000000002</v>
      </c>
      <c r="S315" s="101">
        <f t="shared" si="28"/>
        <v>0</v>
      </c>
      <c r="T315" s="103">
        <f t="shared" si="29"/>
        <v>0</v>
      </c>
    </row>
    <row r="316" spans="2:20" x14ac:dyDescent="0.25">
      <c r="B316" s="99">
        <v>312</v>
      </c>
      <c r="C316" s="100" t="s">
        <v>635</v>
      </c>
      <c r="D316" s="100">
        <v>13</v>
      </c>
      <c r="E316" s="100" t="s">
        <v>638</v>
      </c>
      <c r="F316" s="101">
        <v>21.6</v>
      </c>
      <c r="G316" s="101">
        <v>28080</v>
      </c>
      <c r="H316" s="100" t="s">
        <v>636</v>
      </c>
      <c r="I316" s="101">
        <v>0.9</v>
      </c>
      <c r="J316" s="101">
        <v>1178.71</v>
      </c>
      <c r="K316" s="100" t="s">
        <v>399</v>
      </c>
      <c r="L316" s="100">
        <v>26892.58</v>
      </c>
      <c r="M316" s="102">
        <v>0.2001</v>
      </c>
      <c r="N316" s="100"/>
      <c r="O316" s="101">
        <f t="shared" si="25"/>
        <v>26901.29</v>
      </c>
      <c r="P316" s="101">
        <f t="shared" si="26"/>
        <v>28071.29</v>
      </c>
      <c r="Q316" s="101">
        <f t="shared" si="30"/>
        <v>1178.71</v>
      </c>
      <c r="R316" s="101">
        <f t="shared" si="27"/>
        <v>26892.58</v>
      </c>
      <c r="S316" s="101">
        <f t="shared" si="28"/>
        <v>0</v>
      </c>
      <c r="T316" s="103">
        <f t="shared" si="29"/>
        <v>0</v>
      </c>
    </row>
    <row r="317" spans="2:20" x14ac:dyDescent="0.25">
      <c r="B317" s="99">
        <v>313</v>
      </c>
      <c r="C317" s="100" t="s">
        <v>635</v>
      </c>
      <c r="D317" s="100">
        <v>11</v>
      </c>
      <c r="E317" s="100" t="s">
        <v>639</v>
      </c>
      <c r="F317" s="101">
        <v>25.5</v>
      </c>
      <c r="G317" s="101">
        <v>28050</v>
      </c>
      <c r="H317" s="100" t="s">
        <v>640</v>
      </c>
      <c r="I317" s="101">
        <v>0.35</v>
      </c>
      <c r="J317" s="101">
        <v>392.37</v>
      </c>
      <c r="K317" s="100" t="s">
        <v>399</v>
      </c>
      <c r="L317" s="100">
        <v>27650.26</v>
      </c>
      <c r="M317" s="102">
        <v>0.24049999999999999</v>
      </c>
      <c r="N317" s="100"/>
      <c r="O317" s="101">
        <f t="shared" si="25"/>
        <v>27657.63</v>
      </c>
      <c r="P317" s="101">
        <f t="shared" si="26"/>
        <v>28042.63</v>
      </c>
      <c r="Q317" s="101">
        <f t="shared" si="30"/>
        <v>392.36999999999995</v>
      </c>
      <c r="R317" s="101">
        <f t="shared" si="27"/>
        <v>27650.260000000002</v>
      </c>
      <c r="S317" s="101">
        <f t="shared" si="28"/>
        <v>0</v>
      </c>
      <c r="T317" s="103">
        <f t="shared" si="29"/>
        <v>0</v>
      </c>
    </row>
    <row r="318" spans="2:20" x14ac:dyDescent="0.25">
      <c r="B318" s="99">
        <v>314</v>
      </c>
      <c r="C318" s="100" t="s">
        <v>589</v>
      </c>
      <c r="D318" s="100">
        <v>21</v>
      </c>
      <c r="E318" s="100" t="s">
        <v>641</v>
      </c>
      <c r="F318" s="101">
        <v>11.95</v>
      </c>
      <c r="G318" s="101">
        <v>25095</v>
      </c>
      <c r="H318" s="100" t="s">
        <v>642</v>
      </c>
      <c r="I318" s="101">
        <v>5.75</v>
      </c>
      <c r="J318" s="101">
        <v>12089.07</v>
      </c>
      <c r="K318" s="100" t="s">
        <v>399</v>
      </c>
      <c r="L318" s="100">
        <v>12991.86</v>
      </c>
      <c r="M318" s="102">
        <v>5.4699999999999999E-2</v>
      </c>
      <c r="N318" s="100"/>
      <c r="O318" s="101">
        <f t="shared" si="25"/>
        <v>13005.93</v>
      </c>
      <c r="P318" s="101">
        <f t="shared" si="26"/>
        <v>25080.93</v>
      </c>
      <c r="Q318" s="101">
        <f t="shared" si="30"/>
        <v>12089.07</v>
      </c>
      <c r="R318" s="101">
        <f t="shared" si="27"/>
        <v>12991.86</v>
      </c>
      <c r="S318" s="101">
        <f t="shared" si="28"/>
        <v>0</v>
      </c>
      <c r="T318" s="103">
        <f t="shared" si="29"/>
        <v>0</v>
      </c>
    </row>
    <row r="319" spans="2:20" x14ac:dyDescent="0.25">
      <c r="B319" s="99">
        <v>315</v>
      </c>
      <c r="C319" s="100" t="s">
        <v>589</v>
      </c>
      <c r="D319" s="100">
        <v>20</v>
      </c>
      <c r="E319" s="100" t="s">
        <v>643</v>
      </c>
      <c r="F319" s="101">
        <v>12.9</v>
      </c>
      <c r="G319" s="101">
        <v>25800</v>
      </c>
      <c r="H319" s="100" t="s">
        <v>644</v>
      </c>
      <c r="I319" s="101">
        <v>6.3</v>
      </c>
      <c r="J319" s="101">
        <v>12613.4</v>
      </c>
      <c r="K319" s="100" t="s">
        <v>399</v>
      </c>
      <c r="L319" s="100">
        <v>13173.2</v>
      </c>
      <c r="M319" s="102">
        <v>5.62E-2</v>
      </c>
      <c r="N319" s="100"/>
      <c r="O319" s="101">
        <f t="shared" si="25"/>
        <v>13186.6</v>
      </c>
      <c r="P319" s="101">
        <f t="shared" si="26"/>
        <v>25786.6</v>
      </c>
      <c r="Q319" s="101">
        <f t="shared" si="30"/>
        <v>12613.4</v>
      </c>
      <c r="R319" s="101">
        <f t="shared" si="27"/>
        <v>13173.199999999999</v>
      </c>
      <c r="S319" s="101">
        <f t="shared" si="28"/>
        <v>0</v>
      </c>
      <c r="T319" s="103">
        <f t="shared" si="29"/>
        <v>0</v>
      </c>
    </row>
    <row r="320" spans="2:20" x14ac:dyDescent="0.25">
      <c r="B320" s="99">
        <v>316</v>
      </c>
      <c r="C320" s="100" t="s">
        <v>589</v>
      </c>
      <c r="D320" s="100">
        <v>16</v>
      </c>
      <c r="E320" s="100" t="s">
        <v>645</v>
      </c>
      <c r="F320" s="101">
        <v>15.4</v>
      </c>
      <c r="G320" s="101">
        <v>24640</v>
      </c>
      <c r="H320" s="100" t="s">
        <v>644</v>
      </c>
      <c r="I320" s="101">
        <v>7.6</v>
      </c>
      <c r="J320" s="101">
        <v>12170.72</v>
      </c>
      <c r="K320" s="100" t="s">
        <v>399</v>
      </c>
      <c r="L320" s="100">
        <v>12458.56</v>
      </c>
      <c r="M320" s="102">
        <v>6.5100000000000005E-2</v>
      </c>
      <c r="N320" s="100"/>
      <c r="O320" s="101">
        <f t="shared" si="25"/>
        <v>12469.28</v>
      </c>
      <c r="P320" s="101">
        <f t="shared" si="26"/>
        <v>24629.279999999999</v>
      </c>
      <c r="Q320" s="101">
        <f t="shared" si="30"/>
        <v>12170.72</v>
      </c>
      <c r="R320" s="101">
        <f t="shared" si="27"/>
        <v>12458.56</v>
      </c>
      <c r="S320" s="101">
        <f t="shared" si="28"/>
        <v>0</v>
      </c>
      <c r="T320" s="103">
        <f t="shared" si="29"/>
        <v>0</v>
      </c>
    </row>
    <row r="321" spans="2:20" x14ac:dyDescent="0.25">
      <c r="B321" s="99">
        <v>317</v>
      </c>
      <c r="C321" s="100" t="s">
        <v>589</v>
      </c>
      <c r="D321" s="100">
        <v>20</v>
      </c>
      <c r="E321" s="100" t="s">
        <v>646</v>
      </c>
      <c r="F321" s="101">
        <v>12.85</v>
      </c>
      <c r="G321" s="101">
        <v>25700</v>
      </c>
      <c r="H321" s="100" t="s">
        <v>644</v>
      </c>
      <c r="I321" s="101">
        <v>5.7</v>
      </c>
      <c r="J321" s="101">
        <v>11413.4</v>
      </c>
      <c r="K321" s="100" t="s">
        <v>399</v>
      </c>
      <c r="L321" s="100">
        <v>14273.2</v>
      </c>
      <c r="M321" s="102">
        <v>5.8400000000000001E-2</v>
      </c>
      <c r="N321" s="100"/>
      <c r="O321" s="101">
        <f t="shared" si="25"/>
        <v>14286.6</v>
      </c>
      <c r="P321" s="101">
        <f t="shared" si="26"/>
        <v>25686.6</v>
      </c>
      <c r="Q321" s="101">
        <f t="shared" si="30"/>
        <v>11413.4</v>
      </c>
      <c r="R321" s="101">
        <f t="shared" si="27"/>
        <v>14273.199999999999</v>
      </c>
      <c r="S321" s="101">
        <f t="shared" si="28"/>
        <v>0</v>
      </c>
      <c r="T321" s="103">
        <f t="shared" si="29"/>
        <v>0</v>
      </c>
    </row>
    <row r="322" spans="2:20" x14ac:dyDescent="0.25">
      <c r="B322" s="99">
        <v>318</v>
      </c>
      <c r="C322" s="100" t="s">
        <v>589</v>
      </c>
      <c r="D322" s="100">
        <v>19</v>
      </c>
      <c r="E322" s="100" t="s">
        <v>614</v>
      </c>
      <c r="F322" s="101">
        <v>14.15</v>
      </c>
      <c r="G322" s="101">
        <v>26885</v>
      </c>
      <c r="H322" s="100" t="s">
        <v>644</v>
      </c>
      <c r="I322" s="101">
        <v>7</v>
      </c>
      <c r="J322" s="101">
        <v>13312.73</v>
      </c>
      <c r="K322" s="100" t="s">
        <v>399</v>
      </c>
      <c r="L322" s="100">
        <v>13559.54</v>
      </c>
      <c r="M322" s="102">
        <v>5.67E-2</v>
      </c>
      <c r="N322" s="100"/>
      <c r="O322" s="101">
        <f t="shared" si="25"/>
        <v>13572.27</v>
      </c>
      <c r="P322" s="101">
        <f t="shared" si="26"/>
        <v>26872.270000000004</v>
      </c>
      <c r="Q322" s="101">
        <f t="shared" si="30"/>
        <v>13312.73</v>
      </c>
      <c r="R322" s="101">
        <f t="shared" si="27"/>
        <v>13559.540000000005</v>
      </c>
      <c r="S322" s="101">
        <f t="shared" si="28"/>
        <v>0</v>
      </c>
      <c r="T322" s="103">
        <f t="shared" si="29"/>
        <v>0</v>
      </c>
    </row>
    <row r="323" spans="2:20" x14ac:dyDescent="0.25">
      <c r="B323" s="99">
        <v>319</v>
      </c>
      <c r="C323" s="100" t="s">
        <v>589</v>
      </c>
      <c r="D323" s="100">
        <v>18</v>
      </c>
      <c r="E323" s="100" t="s">
        <v>649</v>
      </c>
      <c r="F323" s="101">
        <v>14.9</v>
      </c>
      <c r="G323" s="101">
        <v>26820</v>
      </c>
      <c r="H323" s="100" t="s">
        <v>650</v>
      </c>
      <c r="I323" s="101">
        <v>7.2</v>
      </c>
      <c r="J323" s="101">
        <v>12972.06</v>
      </c>
      <c r="K323" s="100" t="s">
        <v>399</v>
      </c>
      <c r="L323" s="100">
        <v>13835.88</v>
      </c>
      <c r="M323" s="102">
        <v>6.1400000000000003E-2</v>
      </c>
      <c r="N323" s="100"/>
      <c r="O323" s="101">
        <f t="shared" si="25"/>
        <v>13847.94</v>
      </c>
      <c r="P323" s="101">
        <f t="shared" si="26"/>
        <v>26807.94</v>
      </c>
      <c r="Q323" s="101">
        <f t="shared" si="30"/>
        <v>12972.06</v>
      </c>
      <c r="R323" s="101">
        <f t="shared" si="27"/>
        <v>13835.88</v>
      </c>
      <c r="S323" s="101">
        <f t="shared" si="28"/>
        <v>0</v>
      </c>
      <c r="T323" s="103">
        <f t="shared" si="29"/>
        <v>0</v>
      </c>
    </row>
    <row r="324" spans="2:20" x14ac:dyDescent="0.25">
      <c r="B324" s="99">
        <v>320</v>
      </c>
      <c r="C324" s="100" t="s">
        <v>589</v>
      </c>
      <c r="D324" s="100">
        <v>19</v>
      </c>
      <c r="E324" s="100" t="s">
        <v>651</v>
      </c>
      <c r="F324" s="101">
        <v>14.7</v>
      </c>
      <c r="G324" s="101">
        <v>27930</v>
      </c>
      <c r="H324" s="100" t="s">
        <v>652</v>
      </c>
      <c r="I324" s="101">
        <v>7.3</v>
      </c>
      <c r="J324" s="101">
        <v>13882.73</v>
      </c>
      <c r="K324" s="100" t="s">
        <v>399</v>
      </c>
      <c r="L324" s="100">
        <v>14034.54</v>
      </c>
      <c r="M324" s="102">
        <v>5.67E-2</v>
      </c>
      <c r="N324" s="100"/>
      <c r="O324" s="101">
        <f t="shared" si="25"/>
        <v>14047.27</v>
      </c>
      <c r="P324" s="101">
        <f t="shared" si="26"/>
        <v>27917.27</v>
      </c>
      <c r="Q324" s="101">
        <f t="shared" si="30"/>
        <v>13882.729999999998</v>
      </c>
      <c r="R324" s="101">
        <f t="shared" si="27"/>
        <v>14034.540000000003</v>
      </c>
      <c r="S324" s="101">
        <f t="shared" si="28"/>
        <v>0</v>
      </c>
      <c r="T324" s="103">
        <f t="shared" si="29"/>
        <v>0</v>
      </c>
    </row>
    <row r="325" spans="2:20" x14ac:dyDescent="0.25">
      <c r="B325" s="99">
        <v>321</v>
      </c>
      <c r="C325" s="100" t="s">
        <v>529</v>
      </c>
      <c r="D325" s="100">
        <v>18</v>
      </c>
      <c r="E325" s="100" t="s">
        <v>653</v>
      </c>
      <c r="F325" s="101">
        <v>15</v>
      </c>
      <c r="G325" s="101">
        <v>27000</v>
      </c>
      <c r="H325" s="100" t="s">
        <v>654</v>
      </c>
      <c r="I325" s="101">
        <v>7.25</v>
      </c>
      <c r="J325" s="101">
        <v>13062.06</v>
      </c>
      <c r="K325" s="100" t="s">
        <v>399</v>
      </c>
      <c r="L325" s="100">
        <v>13925.88</v>
      </c>
      <c r="M325" s="102">
        <v>4.8399999999999999E-2</v>
      </c>
      <c r="N325" s="100"/>
      <c r="O325" s="101">
        <f t="shared" si="25"/>
        <v>13937.94</v>
      </c>
      <c r="P325" s="101">
        <f t="shared" si="26"/>
        <v>26987.94</v>
      </c>
      <c r="Q325" s="101">
        <f t="shared" si="30"/>
        <v>13062.06</v>
      </c>
      <c r="R325" s="101">
        <f t="shared" si="27"/>
        <v>13925.88</v>
      </c>
      <c r="S325" s="101">
        <f t="shared" si="28"/>
        <v>0</v>
      </c>
      <c r="T325" s="103">
        <f t="shared" si="29"/>
        <v>0</v>
      </c>
    </row>
    <row r="326" spans="2:20" x14ac:dyDescent="0.25">
      <c r="B326" s="99">
        <v>322</v>
      </c>
      <c r="C326" s="100" t="s">
        <v>581</v>
      </c>
      <c r="D326" s="100">
        <v>65</v>
      </c>
      <c r="E326" s="100" t="s">
        <v>620</v>
      </c>
      <c r="F326" s="101">
        <v>4.4000000000000004</v>
      </c>
      <c r="G326" s="101">
        <v>28600</v>
      </c>
      <c r="H326" s="100" t="s">
        <v>655</v>
      </c>
      <c r="I326" s="101">
        <v>2.1</v>
      </c>
      <c r="J326" s="101">
        <v>13693.55</v>
      </c>
      <c r="K326" s="100" t="s">
        <v>399</v>
      </c>
      <c r="L326" s="100">
        <v>14862.9</v>
      </c>
      <c r="M326" s="102">
        <v>8.2799999999999999E-2</v>
      </c>
      <c r="N326" s="100"/>
      <c r="O326" s="101">
        <f t="shared" ref="O326:O389" si="31">G326-J326</f>
        <v>14906.45</v>
      </c>
      <c r="P326" s="101">
        <f t="shared" ref="P326:P389" si="32">F326*D326*100 - D326*0.67</f>
        <v>28556.45</v>
      </c>
      <c r="Q326" s="101">
        <f t="shared" si="30"/>
        <v>13693.55</v>
      </c>
      <c r="R326" s="101">
        <f t="shared" ref="R326:R389" si="33">P326-Q326</f>
        <v>14862.900000000001</v>
      </c>
      <c r="S326" s="101">
        <f t="shared" ref="S326:S389" si="34">L326-R326</f>
        <v>0</v>
      </c>
      <c r="T326" s="103">
        <f t="shared" ref="T326:T389" si="35">S326/D326</f>
        <v>0</v>
      </c>
    </row>
    <row r="327" spans="2:20" x14ac:dyDescent="0.25">
      <c r="B327" s="99">
        <v>323</v>
      </c>
      <c r="C327" s="100" t="s">
        <v>581</v>
      </c>
      <c r="D327" s="100">
        <v>71</v>
      </c>
      <c r="E327" s="100" t="s">
        <v>656</v>
      </c>
      <c r="F327" s="101">
        <v>4</v>
      </c>
      <c r="G327" s="101">
        <v>28400</v>
      </c>
      <c r="H327" s="100" t="s">
        <v>655</v>
      </c>
      <c r="I327" s="101">
        <v>1.9</v>
      </c>
      <c r="J327" s="101">
        <v>13537.57</v>
      </c>
      <c r="K327" s="100" t="s">
        <v>399</v>
      </c>
      <c r="L327" s="100">
        <v>14814.86</v>
      </c>
      <c r="M327" s="102">
        <v>7.7299999999999994E-2</v>
      </c>
      <c r="N327" s="100"/>
      <c r="O327" s="101">
        <f t="shared" si="31"/>
        <v>14862.43</v>
      </c>
      <c r="P327" s="101">
        <f t="shared" si="32"/>
        <v>28352.43</v>
      </c>
      <c r="Q327" s="101">
        <f t="shared" si="30"/>
        <v>13537.57</v>
      </c>
      <c r="R327" s="101">
        <f t="shared" si="33"/>
        <v>14814.86</v>
      </c>
      <c r="S327" s="101">
        <f t="shared" si="34"/>
        <v>0</v>
      </c>
      <c r="T327" s="103">
        <f t="shared" si="35"/>
        <v>0</v>
      </c>
    </row>
    <row r="328" spans="2:20" x14ac:dyDescent="0.25">
      <c r="B328" s="99">
        <v>324</v>
      </c>
      <c r="C328" s="100" t="s">
        <v>589</v>
      </c>
      <c r="D328" s="100">
        <v>23</v>
      </c>
      <c r="E328" s="100" t="s">
        <v>650</v>
      </c>
      <c r="F328" s="101">
        <v>14.85</v>
      </c>
      <c r="G328" s="101">
        <v>34155</v>
      </c>
      <c r="H328" s="100" t="s">
        <v>655</v>
      </c>
      <c r="I328" s="101">
        <v>7.25</v>
      </c>
      <c r="J328" s="101">
        <v>16690.41</v>
      </c>
      <c r="K328" s="100" t="s">
        <v>399</v>
      </c>
      <c r="L328" s="100">
        <v>17449.18</v>
      </c>
      <c r="M328" s="102">
        <v>5.8299999999999998E-2</v>
      </c>
      <c r="N328" s="100"/>
      <c r="O328" s="101">
        <f t="shared" si="31"/>
        <v>17464.59</v>
      </c>
      <c r="P328" s="101">
        <f t="shared" si="32"/>
        <v>34139.589999999997</v>
      </c>
      <c r="Q328" s="101">
        <f t="shared" si="30"/>
        <v>16690.41</v>
      </c>
      <c r="R328" s="101">
        <f t="shared" si="33"/>
        <v>17449.179999999997</v>
      </c>
      <c r="S328" s="101">
        <f t="shared" si="34"/>
        <v>0</v>
      </c>
      <c r="T328" s="103">
        <f t="shared" si="35"/>
        <v>0</v>
      </c>
    </row>
    <row r="329" spans="2:20" x14ac:dyDescent="0.25">
      <c r="B329" s="99">
        <v>325</v>
      </c>
      <c r="C329" s="100" t="s">
        <v>589</v>
      </c>
      <c r="D329" s="100">
        <v>28</v>
      </c>
      <c r="E329" s="100" t="s">
        <v>657</v>
      </c>
      <c r="F329" s="101">
        <v>12.1</v>
      </c>
      <c r="G329" s="101">
        <v>33880</v>
      </c>
      <c r="H329" s="100" t="s">
        <v>655</v>
      </c>
      <c r="I329" s="101">
        <v>6</v>
      </c>
      <c r="J329" s="101">
        <v>16818.759999999998</v>
      </c>
      <c r="K329" s="100" t="s">
        <v>399</v>
      </c>
      <c r="L329" s="100">
        <v>17042.48</v>
      </c>
      <c r="M329" s="102">
        <v>4.7600000000000003E-2</v>
      </c>
      <c r="N329" s="100"/>
      <c r="O329" s="101">
        <f t="shared" si="31"/>
        <v>17061.240000000002</v>
      </c>
      <c r="P329" s="101">
        <f t="shared" si="32"/>
        <v>33861.24</v>
      </c>
      <c r="Q329" s="101">
        <f t="shared" si="30"/>
        <v>16818.759999999998</v>
      </c>
      <c r="R329" s="101">
        <f t="shared" si="33"/>
        <v>17042.48</v>
      </c>
      <c r="S329" s="101">
        <f t="shared" si="34"/>
        <v>0</v>
      </c>
      <c r="T329" s="103">
        <f t="shared" si="35"/>
        <v>0</v>
      </c>
    </row>
    <row r="330" spans="2:20" x14ac:dyDescent="0.25">
      <c r="B330" s="99">
        <v>326</v>
      </c>
      <c r="C330" s="100" t="s">
        <v>589</v>
      </c>
      <c r="D330" s="100">
        <v>28</v>
      </c>
      <c r="E330" s="100" t="s">
        <v>652</v>
      </c>
      <c r="F330" s="101">
        <v>12.2</v>
      </c>
      <c r="G330" s="101">
        <v>34160</v>
      </c>
      <c r="H330" s="100" t="s">
        <v>658</v>
      </c>
      <c r="I330" s="101">
        <v>5.8</v>
      </c>
      <c r="J330" s="101">
        <v>16258.76</v>
      </c>
      <c r="K330" s="100" t="s">
        <v>399</v>
      </c>
      <c r="L330" s="100">
        <v>17882.48</v>
      </c>
      <c r="M330" s="102">
        <v>4.8099999999999997E-2</v>
      </c>
      <c r="N330" s="100"/>
      <c r="O330" s="101">
        <f t="shared" si="31"/>
        <v>17901.239999999998</v>
      </c>
      <c r="P330" s="101">
        <f t="shared" si="32"/>
        <v>34141.24</v>
      </c>
      <c r="Q330" s="101">
        <f t="shared" si="30"/>
        <v>16258.76</v>
      </c>
      <c r="R330" s="101">
        <f t="shared" si="33"/>
        <v>17882.479999999996</v>
      </c>
      <c r="S330" s="101">
        <f t="shared" si="34"/>
        <v>0</v>
      </c>
      <c r="T330" s="103">
        <f t="shared" si="35"/>
        <v>0</v>
      </c>
    </row>
    <row r="331" spans="2:20" x14ac:dyDescent="0.25">
      <c r="B331" s="99">
        <v>327</v>
      </c>
      <c r="C331" s="100" t="s">
        <v>548</v>
      </c>
      <c r="D331" s="100">
        <v>34</v>
      </c>
      <c r="E331" s="100" t="s">
        <v>659</v>
      </c>
      <c r="F331" s="101">
        <v>8.1</v>
      </c>
      <c r="G331" s="101">
        <v>27540</v>
      </c>
      <c r="H331" s="100" t="s">
        <v>660</v>
      </c>
      <c r="I331" s="101">
        <v>0.2</v>
      </c>
      <c r="J331" s="101">
        <v>702.78</v>
      </c>
      <c r="K331" s="100" t="s">
        <v>399</v>
      </c>
      <c r="L331" s="100">
        <v>26814.44</v>
      </c>
      <c r="M331" s="102">
        <v>0.36009999999999998</v>
      </c>
      <c r="N331" s="100"/>
      <c r="O331" s="101">
        <f t="shared" si="31"/>
        <v>26837.22</v>
      </c>
      <c r="P331" s="101">
        <f t="shared" si="32"/>
        <v>27517.219999999998</v>
      </c>
      <c r="Q331" s="101">
        <f t="shared" si="30"/>
        <v>702.78000000000009</v>
      </c>
      <c r="R331" s="101">
        <f t="shared" si="33"/>
        <v>26814.44</v>
      </c>
      <c r="S331" s="101">
        <f t="shared" si="34"/>
        <v>0</v>
      </c>
      <c r="T331" s="103">
        <f t="shared" si="35"/>
        <v>0</v>
      </c>
    </row>
    <row r="332" spans="2:20" x14ac:dyDescent="0.25">
      <c r="B332" s="99">
        <v>328</v>
      </c>
      <c r="C332" s="100" t="s">
        <v>581</v>
      </c>
      <c r="D332" s="100">
        <v>78</v>
      </c>
      <c r="E332" s="100" t="s">
        <v>661</v>
      </c>
      <c r="F332" s="101">
        <v>3.7</v>
      </c>
      <c r="G332" s="101">
        <v>28860</v>
      </c>
      <c r="H332" s="100" t="s">
        <v>660</v>
      </c>
      <c r="I332" s="101">
        <v>1.85</v>
      </c>
      <c r="J332" s="101">
        <v>14482.26</v>
      </c>
      <c r="K332" s="100" t="s">
        <v>399</v>
      </c>
      <c r="L332" s="100">
        <v>14325.48</v>
      </c>
      <c r="M332" s="102">
        <v>5.74E-2</v>
      </c>
      <c r="N332" s="100"/>
      <c r="O332" s="101">
        <f t="shared" si="31"/>
        <v>14377.74</v>
      </c>
      <c r="P332" s="101">
        <f t="shared" si="32"/>
        <v>28807.740000000005</v>
      </c>
      <c r="Q332" s="101">
        <f t="shared" si="30"/>
        <v>14482.260000000002</v>
      </c>
      <c r="R332" s="101">
        <f t="shared" si="33"/>
        <v>14325.480000000003</v>
      </c>
      <c r="S332" s="101">
        <f t="shared" si="34"/>
        <v>0</v>
      </c>
      <c r="T332" s="103">
        <f t="shared" si="35"/>
        <v>0</v>
      </c>
    </row>
    <row r="333" spans="2:20" x14ac:dyDescent="0.25">
      <c r="B333" s="99">
        <v>329</v>
      </c>
      <c r="C333" s="100" t="s">
        <v>581</v>
      </c>
      <c r="D333" s="100">
        <v>67</v>
      </c>
      <c r="E333" s="100" t="s">
        <v>625</v>
      </c>
      <c r="F333" s="101">
        <v>4.3</v>
      </c>
      <c r="G333" s="101">
        <v>28810</v>
      </c>
      <c r="H333" s="100" t="s">
        <v>662</v>
      </c>
      <c r="I333" s="101">
        <v>1.95</v>
      </c>
      <c r="J333" s="101">
        <v>13109.89</v>
      </c>
      <c r="K333" s="100" t="s">
        <v>399</v>
      </c>
      <c r="L333" s="100">
        <v>15655.22</v>
      </c>
      <c r="M333" s="102">
        <v>7.8700000000000006E-2</v>
      </c>
      <c r="N333" s="100"/>
      <c r="O333" s="101">
        <f t="shared" si="31"/>
        <v>15700.11</v>
      </c>
      <c r="P333" s="101">
        <f t="shared" si="32"/>
        <v>28765.109999999997</v>
      </c>
      <c r="Q333" s="101">
        <f t="shared" si="30"/>
        <v>13109.89</v>
      </c>
      <c r="R333" s="101">
        <f t="shared" si="33"/>
        <v>15655.219999999998</v>
      </c>
      <c r="S333" s="101">
        <f t="shared" si="34"/>
        <v>0</v>
      </c>
      <c r="T333" s="103">
        <f t="shared" si="35"/>
        <v>0</v>
      </c>
    </row>
    <row r="334" spans="2:20" x14ac:dyDescent="0.25">
      <c r="B334" s="99">
        <v>330</v>
      </c>
      <c r="C334" s="100" t="s">
        <v>581</v>
      </c>
      <c r="D334" s="100">
        <v>71</v>
      </c>
      <c r="E334" s="100" t="s">
        <v>663</v>
      </c>
      <c r="F334" s="101">
        <v>4</v>
      </c>
      <c r="G334" s="101">
        <v>28400</v>
      </c>
      <c r="H334" s="100" t="s">
        <v>662</v>
      </c>
      <c r="I334" s="101">
        <v>1.8</v>
      </c>
      <c r="J334" s="101">
        <v>12827.57</v>
      </c>
      <c r="K334" s="100" t="s">
        <v>399</v>
      </c>
      <c r="L334" s="100">
        <v>15524.86</v>
      </c>
      <c r="M334" s="102">
        <v>7.5399999999999995E-2</v>
      </c>
      <c r="N334" s="100"/>
      <c r="O334" s="101">
        <f t="shared" si="31"/>
        <v>15572.43</v>
      </c>
      <c r="P334" s="101">
        <f t="shared" si="32"/>
        <v>28352.43</v>
      </c>
      <c r="Q334" s="101">
        <f t="shared" si="30"/>
        <v>12827.57</v>
      </c>
      <c r="R334" s="101">
        <f t="shared" si="33"/>
        <v>15524.86</v>
      </c>
      <c r="S334" s="101">
        <f t="shared" si="34"/>
        <v>0</v>
      </c>
      <c r="T334" s="103">
        <f t="shared" si="35"/>
        <v>0</v>
      </c>
    </row>
    <row r="335" spans="2:20" x14ac:dyDescent="0.25">
      <c r="B335" s="99">
        <v>331</v>
      </c>
      <c r="C335" s="100" t="s">
        <v>581</v>
      </c>
      <c r="D335" s="100">
        <v>63</v>
      </c>
      <c r="E335" s="100" t="s">
        <v>664</v>
      </c>
      <c r="F335" s="101">
        <v>4.5</v>
      </c>
      <c r="G335" s="101">
        <v>28350</v>
      </c>
      <c r="H335" s="100" t="s">
        <v>662</v>
      </c>
      <c r="I335" s="101">
        <v>2.15</v>
      </c>
      <c r="J335" s="101">
        <v>13587.21</v>
      </c>
      <c r="K335" s="100" t="s">
        <v>399</v>
      </c>
      <c r="L335" s="100">
        <v>14720.58</v>
      </c>
      <c r="M335" s="102">
        <v>7.6600000000000001E-2</v>
      </c>
      <c r="N335" s="100"/>
      <c r="O335" s="101">
        <f t="shared" si="31"/>
        <v>14762.79</v>
      </c>
      <c r="P335" s="101">
        <f t="shared" si="32"/>
        <v>28307.79</v>
      </c>
      <c r="Q335" s="101">
        <f t="shared" si="30"/>
        <v>13587.209999999997</v>
      </c>
      <c r="R335" s="101">
        <f t="shared" si="33"/>
        <v>14720.580000000004</v>
      </c>
      <c r="S335" s="101">
        <f t="shared" si="34"/>
        <v>0</v>
      </c>
      <c r="T335" s="103">
        <f t="shared" si="35"/>
        <v>0</v>
      </c>
    </row>
    <row r="336" spans="2:20" x14ac:dyDescent="0.25">
      <c r="B336" s="99">
        <v>332</v>
      </c>
      <c r="C336" s="100" t="s">
        <v>635</v>
      </c>
      <c r="D336" s="100">
        <v>12</v>
      </c>
      <c r="E336" s="100" t="s">
        <v>665</v>
      </c>
      <c r="F336" s="101">
        <v>23.1</v>
      </c>
      <c r="G336" s="101">
        <v>27720</v>
      </c>
      <c r="H336" s="100" t="s">
        <v>666</v>
      </c>
      <c r="I336" s="101">
        <v>11.2</v>
      </c>
      <c r="J336" s="101">
        <v>13448.04</v>
      </c>
      <c r="K336" s="100" t="s">
        <v>399</v>
      </c>
      <c r="L336" s="100">
        <v>14263.92</v>
      </c>
      <c r="M336" s="102">
        <v>0.1166</v>
      </c>
      <c r="N336" s="100"/>
      <c r="O336" s="101">
        <f t="shared" si="31"/>
        <v>14271.96</v>
      </c>
      <c r="P336" s="101">
        <f t="shared" si="32"/>
        <v>27711.960000000003</v>
      </c>
      <c r="Q336" s="101">
        <f t="shared" si="30"/>
        <v>13448.039999999999</v>
      </c>
      <c r="R336" s="101">
        <f t="shared" si="33"/>
        <v>14263.920000000004</v>
      </c>
      <c r="S336" s="101">
        <f t="shared" si="34"/>
        <v>0</v>
      </c>
      <c r="T336" s="103">
        <f t="shared" si="35"/>
        <v>0</v>
      </c>
    </row>
    <row r="337" spans="2:20" x14ac:dyDescent="0.25">
      <c r="B337" s="99">
        <v>333</v>
      </c>
      <c r="C337" s="100" t="s">
        <v>581</v>
      </c>
      <c r="D337" s="100">
        <v>49</v>
      </c>
      <c r="E337" s="100" t="s">
        <v>667</v>
      </c>
      <c r="F337" s="101">
        <v>5.9</v>
      </c>
      <c r="G337" s="101">
        <v>28910</v>
      </c>
      <c r="H337" s="100" t="s">
        <v>668</v>
      </c>
      <c r="I337" s="101">
        <v>2.95</v>
      </c>
      <c r="J337" s="101">
        <v>14487.83</v>
      </c>
      <c r="K337" s="100" t="s">
        <v>399</v>
      </c>
      <c r="L337" s="100">
        <v>14389.34</v>
      </c>
      <c r="M337" s="102">
        <v>0.1009</v>
      </c>
      <c r="N337" s="100"/>
      <c r="O337" s="101">
        <f t="shared" si="31"/>
        <v>14422.17</v>
      </c>
      <c r="P337" s="101">
        <f t="shared" si="32"/>
        <v>28877.170000000002</v>
      </c>
      <c r="Q337" s="101">
        <f t="shared" si="30"/>
        <v>14487.830000000002</v>
      </c>
      <c r="R337" s="101">
        <f t="shared" si="33"/>
        <v>14389.34</v>
      </c>
      <c r="S337" s="101">
        <f t="shared" si="34"/>
        <v>0</v>
      </c>
      <c r="T337" s="103">
        <f t="shared" si="35"/>
        <v>0</v>
      </c>
    </row>
    <row r="338" spans="2:20" x14ac:dyDescent="0.25">
      <c r="B338" s="99">
        <v>334</v>
      </c>
      <c r="C338" s="100" t="s">
        <v>635</v>
      </c>
      <c r="D338" s="100">
        <v>12</v>
      </c>
      <c r="E338" s="100" t="s">
        <v>654</v>
      </c>
      <c r="F338" s="101">
        <v>27.3</v>
      </c>
      <c r="G338" s="101">
        <v>32760</v>
      </c>
      <c r="H338" s="100" t="s">
        <v>674</v>
      </c>
      <c r="I338" s="101">
        <v>2.6</v>
      </c>
      <c r="J338" s="101">
        <v>3128.04</v>
      </c>
      <c r="K338" s="100" t="s">
        <v>399</v>
      </c>
      <c r="L338" s="100">
        <v>29623.919999999998</v>
      </c>
      <c r="M338" s="102">
        <v>0.219</v>
      </c>
      <c r="N338" s="100"/>
      <c r="O338" s="101">
        <f t="shared" si="31"/>
        <v>29631.96</v>
      </c>
      <c r="P338" s="101">
        <f t="shared" si="32"/>
        <v>32751.960000000003</v>
      </c>
      <c r="Q338" s="101">
        <f t="shared" si="30"/>
        <v>3128.0400000000004</v>
      </c>
      <c r="R338" s="101">
        <f t="shared" si="33"/>
        <v>29623.920000000002</v>
      </c>
      <c r="S338" s="101">
        <f t="shared" si="34"/>
        <v>0</v>
      </c>
      <c r="T338" s="103">
        <f t="shared" si="35"/>
        <v>0</v>
      </c>
    </row>
    <row r="339" spans="2:20" x14ac:dyDescent="0.25">
      <c r="B339" s="99">
        <v>335</v>
      </c>
      <c r="C339" s="100" t="s">
        <v>635</v>
      </c>
      <c r="D339" s="100">
        <v>15</v>
      </c>
      <c r="E339" s="100" t="s">
        <v>675</v>
      </c>
      <c r="F339" s="101">
        <v>22.4</v>
      </c>
      <c r="G339" s="101">
        <v>33600</v>
      </c>
      <c r="H339" s="100" t="s">
        <v>674</v>
      </c>
      <c r="I339" s="101">
        <v>1.1000000000000001</v>
      </c>
      <c r="J339" s="101">
        <v>1660.05</v>
      </c>
      <c r="K339" s="100" t="s">
        <v>399</v>
      </c>
      <c r="L339" s="100">
        <v>31929.9</v>
      </c>
      <c r="M339" s="102">
        <v>0.189</v>
      </c>
      <c r="N339" s="100"/>
      <c r="O339" s="101">
        <f t="shared" si="31"/>
        <v>31939.95</v>
      </c>
      <c r="P339" s="101">
        <f t="shared" si="32"/>
        <v>33589.949999999997</v>
      </c>
      <c r="Q339" s="101">
        <f t="shared" si="30"/>
        <v>1660.05</v>
      </c>
      <c r="R339" s="101">
        <f t="shared" si="33"/>
        <v>31929.899999999998</v>
      </c>
      <c r="S339" s="101">
        <f t="shared" si="34"/>
        <v>0</v>
      </c>
      <c r="T339" s="103">
        <f t="shared" si="35"/>
        <v>0</v>
      </c>
    </row>
    <row r="340" spans="2:20" x14ac:dyDescent="0.25">
      <c r="B340" s="99">
        <v>336</v>
      </c>
      <c r="C340" s="100" t="s">
        <v>635</v>
      </c>
      <c r="D340" s="100">
        <v>20</v>
      </c>
      <c r="E340" s="100" t="s">
        <v>676</v>
      </c>
      <c r="F340" s="101">
        <v>17.100000000000001</v>
      </c>
      <c r="G340" s="101">
        <v>34200</v>
      </c>
      <c r="H340" s="100" t="s">
        <v>674</v>
      </c>
      <c r="I340" s="101">
        <v>0.85</v>
      </c>
      <c r="J340" s="101">
        <v>1713.4</v>
      </c>
      <c r="K340" s="100" t="s">
        <v>399</v>
      </c>
      <c r="L340" s="100">
        <v>32473.200000000001</v>
      </c>
      <c r="M340" s="102">
        <v>0.14380000000000001</v>
      </c>
      <c r="N340" s="100"/>
      <c r="O340" s="101">
        <f t="shared" si="31"/>
        <v>32486.6</v>
      </c>
      <c r="P340" s="101">
        <f t="shared" si="32"/>
        <v>34186.6</v>
      </c>
      <c r="Q340" s="101">
        <f t="shared" si="30"/>
        <v>1713.4</v>
      </c>
      <c r="R340" s="101">
        <f t="shared" si="33"/>
        <v>32473.199999999997</v>
      </c>
      <c r="S340" s="101">
        <f t="shared" si="34"/>
        <v>0</v>
      </c>
      <c r="T340" s="103">
        <f t="shared" si="35"/>
        <v>0</v>
      </c>
    </row>
    <row r="341" spans="2:20" x14ac:dyDescent="0.25">
      <c r="B341" s="99">
        <v>337</v>
      </c>
      <c r="C341" s="100" t="s">
        <v>635</v>
      </c>
      <c r="D341" s="100">
        <v>12</v>
      </c>
      <c r="E341" s="100" t="s">
        <v>677</v>
      </c>
      <c r="F341" s="101">
        <v>28.9</v>
      </c>
      <c r="G341" s="101">
        <v>34680</v>
      </c>
      <c r="H341" s="100" t="s">
        <v>674</v>
      </c>
      <c r="I341" s="101">
        <v>1.7</v>
      </c>
      <c r="J341" s="101">
        <v>2048.04</v>
      </c>
      <c r="K341" s="100" t="s">
        <v>399</v>
      </c>
      <c r="L341" s="100">
        <v>32623.919999999998</v>
      </c>
      <c r="M341" s="102">
        <v>0.23419999999999999</v>
      </c>
      <c r="N341" s="100"/>
      <c r="O341" s="101">
        <f t="shared" si="31"/>
        <v>32631.96</v>
      </c>
      <c r="P341" s="101">
        <f t="shared" si="32"/>
        <v>34671.959999999992</v>
      </c>
      <c r="Q341" s="101">
        <f t="shared" si="30"/>
        <v>2048.04</v>
      </c>
      <c r="R341" s="101">
        <f t="shared" si="33"/>
        <v>32623.919999999991</v>
      </c>
      <c r="S341" s="101">
        <f t="shared" si="34"/>
        <v>0</v>
      </c>
      <c r="T341" s="103">
        <f t="shared" si="35"/>
        <v>0</v>
      </c>
    </row>
    <row r="342" spans="2:20" x14ac:dyDescent="0.25">
      <c r="B342" s="99">
        <v>338</v>
      </c>
      <c r="C342" s="100" t="s">
        <v>524</v>
      </c>
      <c r="D342" s="100">
        <v>40</v>
      </c>
      <c r="E342" s="100" t="s">
        <v>680</v>
      </c>
      <c r="F342" s="101">
        <v>7.05</v>
      </c>
      <c r="G342" s="101">
        <v>28200</v>
      </c>
      <c r="H342" s="100" t="s">
        <v>681</v>
      </c>
      <c r="I342" s="101">
        <v>3.5</v>
      </c>
      <c r="J342" s="101">
        <v>14026.8</v>
      </c>
      <c r="K342" s="100" t="s">
        <v>399</v>
      </c>
      <c r="L342" s="100">
        <v>14146.4</v>
      </c>
      <c r="M342" s="102">
        <v>4.8500000000000001E-2</v>
      </c>
      <c r="N342" s="100"/>
      <c r="O342" s="101">
        <f t="shared" si="31"/>
        <v>14173.2</v>
      </c>
      <c r="P342" s="101">
        <f t="shared" si="32"/>
        <v>28173.200000000001</v>
      </c>
      <c r="Q342" s="101">
        <f t="shared" si="30"/>
        <v>14026.8</v>
      </c>
      <c r="R342" s="101">
        <f t="shared" si="33"/>
        <v>14146.400000000001</v>
      </c>
      <c r="S342" s="101">
        <f t="shared" si="34"/>
        <v>0</v>
      </c>
      <c r="T342" s="103">
        <f t="shared" si="35"/>
        <v>0</v>
      </c>
    </row>
    <row r="343" spans="2:20" x14ac:dyDescent="0.25">
      <c r="B343" s="99">
        <v>339</v>
      </c>
      <c r="C343" s="100" t="s">
        <v>524</v>
      </c>
      <c r="D343" s="100">
        <v>44</v>
      </c>
      <c r="E343" s="100" t="s">
        <v>682</v>
      </c>
      <c r="F343" s="101">
        <v>6.4</v>
      </c>
      <c r="G343" s="101">
        <v>28160</v>
      </c>
      <c r="H343" s="100" t="s">
        <v>681</v>
      </c>
      <c r="I343" s="101">
        <v>2.98</v>
      </c>
      <c r="J343" s="101">
        <v>13141.48</v>
      </c>
      <c r="K343" s="100" t="s">
        <v>399</v>
      </c>
      <c r="L343" s="100">
        <v>14989.04</v>
      </c>
      <c r="M343" s="102">
        <v>4.9700000000000001E-2</v>
      </c>
      <c r="N343" s="100"/>
      <c r="O343" s="101">
        <f t="shared" si="31"/>
        <v>15018.52</v>
      </c>
      <c r="P343" s="101">
        <f t="shared" si="32"/>
        <v>28130.520000000004</v>
      </c>
      <c r="Q343" s="101">
        <f t="shared" si="30"/>
        <v>13141.48</v>
      </c>
      <c r="R343" s="101">
        <f t="shared" si="33"/>
        <v>14989.040000000005</v>
      </c>
      <c r="S343" s="101">
        <f t="shared" si="34"/>
        <v>0</v>
      </c>
      <c r="T343" s="103">
        <f t="shared" si="35"/>
        <v>0</v>
      </c>
    </row>
    <row r="344" spans="2:20" x14ac:dyDescent="0.25">
      <c r="B344" s="99">
        <v>340</v>
      </c>
      <c r="C344" s="100" t="s">
        <v>524</v>
      </c>
      <c r="D344" s="100">
        <v>29</v>
      </c>
      <c r="E344" s="100" t="s">
        <v>683</v>
      </c>
      <c r="F344" s="101">
        <v>9.85</v>
      </c>
      <c r="G344" s="101">
        <v>28565</v>
      </c>
      <c r="H344" s="100" t="s">
        <v>681</v>
      </c>
      <c r="I344" s="101">
        <v>4.75</v>
      </c>
      <c r="J344" s="101">
        <v>13794.43</v>
      </c>
      <c r="K344" s="100" t="s">
        <v>399</v>
      </c>
      <c r="L344" s="100">
        <v>14751.14</v>
      </c>
      <c r="M344" s="102">
        <v>6.3500000000000001E-2</v>
      </c>
      <c r="N344" s="100"/>
      <c r="O344" s="101">
        <f t="shared" si="31"/>
        <v>14770.57</v>
      </c>
      <c r="P344" s="101">
        <f t="shared" si="32"/>
        <v>28545.569999999996</v>
      </c>
      <c r="Q344" s="101">
        <f t="shared" si="30"/>
        <v>13794.43</v>
      </c>
      <c r="R344" s="101">
        <f t="shared" si="33"/>
        <v>14751.139999999996</v>
      </c>
      <c r="S344" s="101">
        <f t="shared" si="34"/>
        <v>0</v>
      </c>
      <c r="T344" s="103">
        <f t="shared" si="35"/>
        <v>0</v>
      </c>
    </row>
    <row r="345" spans="2:20" x14ac:dyDescent="0.25">
      <c r="B345" s="99">
        <v>341</v>
      </c>
      <c r="C345" s="100" t="s">
        <v>524</v>
      </c>
      <c r="D345" s="100">
        <v>34</v>
      </c>
      <c r="E345" s="100" t="s">
        <v>684</v>
      </c>
      <c r="F345" s="101">
        <v>8.15</v>
      </c>
      <c r="G345" s="101">
        <v>27710</v>
      </c>
      <c r="H345" s="100" t="s">
        <v>685</v>
      </c>
      <c r="I345" s="101">
        <v>3.65</v>
      </c>
      <c r="J345" s="101">
        <v>12432.78</v>
      </c>
      <c r="K345" s="100" t="s">
        <v>399</v>
      </c>
      <c r="L345" s="100">
        <v>15254.44</v>
      </c>
      <c r="M345" s="102">
        <v>5.8400000000000001E-2</v>
      </c>
      <c r="N345" s="100"/>
      <c r="O345" s="101">
        <f t="shared" si="31"/>
        <v>15277.22</v>
      </c>
      <c r="P345" s="101">
        <f t="shared" si="32"/>
        <v>27687.220000000005</v>
      </c>
      <c r="Q345" s="101">
        <f t="shared" ref="Q345:Q408" si="36">I345*D345*100 + D345*0.67</f>
        <v>12432.78</v>
      </c>
      <c r="R345" s="101">
        <f t="shared" si="33"/>
        <v>15254.440000000004</v>
      </c>
      <c r="S345" s="101">
        <f t="shared" si="34"/>
        <v>0</v>
      </c>
      <c r="T345" s="103">
        <f t="shared" si="35"/>
        <v>0</v>
      </c>
    </row>
    <row r="346" spans="2:20" x14ac:dyDescent="0.25">
      <c r="B346" s="99">
        <v>342</v>
      </c>
      <c r="C346" s="100" t="s">
        <v>581</v>
      </c>
      <c r="D346" s="100">
        <v>70</v>
      </c>
      <c r="E346" s="100" t="s">
        <v>655</v>
      </c>
      <c r="F346" s="101">
        <v>5</v>
      </c>
      <c r="G346" s="101">
        <v>35000</v>
      </c>
      <c r="H346" s="100" t="s">
        <v>686</v>
      </c>
      <c r="I346" s="101">
        <v>2.4500000000000002</v>
      </c>
      <c r="J346" s="101">
        <v>17196.900000000001</v>
      </c>
      <c r="K346" s="100" t="s">
        <v>399</v>
      </c>
      <c r="L346" s="100">
        <v>17756.2</v>
      </c>
      <c r="M346" s="102">
        <v>8.1799999999999998E-2</v>
      </c>
      <c r="N346" s="100"/>
      <c r="O346" s="101">
        <f t="shared" si="31"/>
        <v>17803.099999999999</v>
      </c>
      <c r="P346" s="101">
        <f t="shared" si="32"/>
        <v>34953.1</v>
      </c>
      <c r="Q346" s="101">
        <f t="shared" si="36"/>
        <v>17196.900000000001</v>
      </c>
      <c r="R346" s="101">
        <f t="shared" si="33"/>
        <v>17756.199999999997</v>
      </c>
      <c r="S346" s="101">
        <f t="shared" si="34"/>
        <v>0</v>
      </c>
      <c r="T346" s="103">
        <f t="shared" si="35"/>
        <v>0</v>
      </c>
    </row>
    <row r="347" spans="2:20" x14ac:dyDescent="0.25">
      <c r="B347" s="99">
        <v>343</v>
      </c>
      <c r="C347" s="100" t="s">
        <v>581</v>
      </c>
      <c r="D347" s="100">
        <v>65</v>
      </c>
      <c r="E347" s="100" t="s">
        <v>658</v>
      </c>
      <c r="F347" s="101">
        <v>5.4</v>
      </c>
      <c r="G347" s="101">
        <v>35100</v>
      </c>
      <c r="H347" s="100" t="s">
        <v>686</v>
      </c>
      <c r="I347" s="101">
        <v>2.6</v>
      </c>
      <c r="J347" s="101">
        <v>16943.55</v>
      </c>
      <c r="K347" s="100" t="s">
        <v>399</v>
      </c>
      <c r="L347" s="100">
        <v>18112.900000000001</v>
      </c>
      <c r="M347" s="102">
        <v>8.8200000000000001E-2</v>
      </c>
      <c r="N347" s="100"/>
      <c r="O347" s="101">
        <f t="shared" si="31"/>
        <v>18156.45</v>
      </c>
      <c r="P347" s="101">
        <f t="shared" si="32"/>
        <v>35056.449999999997</v>
      </c>
      <c r="Q347" s="101">
        <f t="shared" si="36"/>
        <v>16943.55</v>
      </c>
      <c r="R347" s="101">
        <f t="shared" si="33"/>
        <v>18112.899999999998</v>
      </c>
      <c r="S347" s="101">
        <f t="shared" si="34"/>
        <v>0</v>
      </c>
      <c r="T347" s="103">
        <f t="shared" si="35"/>
        <v>0</v>
      </c>
    </row>
    <row r="348" spans="2:20" x14ac:dyDescent="0.25">
      <c r="B348" s="99">
        <v>344</v>
      </c>
      <c r="C348" s="100" t="s">
        <v>524</v>
      </c>
      <c r="D348" s="100">
        <v>31</v>
      </c>
      <c r="E348" s="100" t="s">
        <v>634</v>
      </c>
      <c r="F348" s="101">
        <v>9.35</v>
      </c>
      <c r="G348" s="101">
        <v>28985</v>
      </c>
      <c r="H348" s="100" t="s">
        <v>687</v>
      </c>
      <c r="I348" s="101">
        <v>4.5999999999999996</v>
      </c>
      <c r="J348" s="101">
        <v>14280.77</v>
      </c>
      <c r="K348" s="100" t="s">
        <v>399</v>
      </c>
      <c r="L348" s="100">
        <v>14683.46</v>
      </c>
      <c r="M348" s="102">
        <v>6.7000000000000004E-2</v>
      </c>
      <c r="N348" s="100"/>
      <c r="O348" s="101">
        <f t="shared" si="31"/>
        <v>14704.23</v>
      </c>
      <c r="P348" s="101">
        <f t="shared" si="32"/>
        <v>28964.229999999996</v>
      </c>
      <c r="Q348" s="101">
        <f t="shared" si="36"/>
        <v>14280.77</v>
      </c>
      <c r="R348" s="101">
        <f t="shared" si="33"/>
        <v>14683.459999999995</v>
      </c>
      <c r="S348" s="101">
        <f t="shared" si="34"/>
        <v>0</v>
      </c>
      <c r="T348" s="103">
        <f t="shared" si="35"/>
        <v>0</v>
      </c>
    </row>
    <row r="349" spans="2:20" x14ac:dyDescent="0.25">
      <c r="B349" s="99">
        <v>345</v>
      </c>
      <c r="C349" s="100" t="s">
        <v>524</v>
      </c>
      <c r="D349" s="100">
        <v>30</v>
      </c>
      <c r="E349" s="100" t="s">
        <v>688</v>
      </c>
      <c r="F349" s="101">
        <v>9.75</v>
      </c>
      <c r="G349" s="101">
        <v>29250</v>
      </c>
      <c r="H349" s="100" t="s">
        <v>689</v>
      </c>
      <c r="I349" s="101">
        <v>4.8499999999999996</v>
      </c>
      <c r="J349" s="101">
        <v>14570.1</v>
      </c>
      <c r="K349" s="100" t="s">
        <v>399</v>
      </c>
      <c r="L349" s="100">
        <v>14659.8</v>
      </c>
      <c r="M349" s="102">
        <v>6.4899999999999999E-2</v>
      </c>
      <c r="N349" s="100"/>
      <c r="O349" s="101">
        <f t="shared" si="31"/>
        <v>14679.9</v>
      </c>
      <c r="P349" s="101">
        <f t="shared" si="32"/>
        <v>29229.9</v>
      </c>
      <c r="Q349" s="101">
        <f t="shared" si="36"/>
        <v>14570.1</v>
      </c>
      <c r="R349" s="101">
        <f t="shared" si="33"/>
        <v>14659.800000000001</v>
      </c>
      <c r="S349" s="101">
        <f t="shared" si="34"/>
        <v>0</v>
      </c>
      <c r="T349" s="103">
        <f t="shared" si="35"/>
        <v>0</v>
      </c>
    </row>
    <row r="350" spans="2:20" x14ac:dyDescent="0.25">
      <c r="B350" s="99">
        <v>346</v>
      </c>
      <c r="C350" s="100" t="s">
        <v>721</v>
      </c>
      <c r="D350" s="100">
        <v>37</v>
      </c>
      <c r="E350" s="100" t="s">
        <v>722</v>
      </c>
      <c r="F350" s="101">
        <v>8</v>
      </c>
      <c r="G350" s="101">
        <v>29600</v>
      </c>
      <c r="H350" s="100" t="s">
        <v>723</v>
      </c>
      <c r="I350" s="101">
        <v>4</v>
      </c>
      <c r="J350" s="101">
        <v>14824.79</v>
      </c>
      <c r="K350" s="100" t="s">
        <v>399</v>
      </c>
      <c r="L350" s="100">
        <v>14750.42</v>
      </c>
      <c r="M350" s="102">
        <v>5.1799999999999999E-2</v>
      </c>
      <c r="N350" s="100"/>
      <c r="O350" s="101">
        <f t="shared" si="31"/>
        <v>14775.21</v>
      </c>
      <c r="P350" s="101">
        <f t="shared" si="32"/>
        <v>29575.21</v>
      </c>
      <c r="Q350" s="101">
        <f t="shared" si="36"/>
        <v>14824.79</v>
      </c>
      <c r="R350" s="101">
        <f t="shared" si="33"/>
        <v>14750.419999999998</v>
      </c>
      <c r="S350" s="101">
        <f t="shared" si="34"/>
        <v>0</v>
      </c>
      <c r="T350" s="103">
        <f t="shared" si="35"/>
        <v>0</v>
      </c>
    </row>
    <row r="351" spans="2:20" x14ac:dyDescent="0.25">
      <c r="B351" s="99">
        <v>347</v>
      </c>
      <c r="C351" s="100" t="s">
        <v>731</v>
      </c>
      <c r="D351" s="100">
        <v>20</v>
      </c>
      <c r="E351" s="100" t="s">
        <v>732</v>
      </c>
      <c r="F351" s="101">
        <v>15.2</v>
      </c>
      <c r="G351" s="101">
        <v>30400</v>
      </c>
      <c r="H351" s="100" t="s">
        <v>733</v>
      </c>
      <c r="I351" s="101">
        <v>0.45</v>
      </c>
      <c r="J351" s="101">
        <v>913.4</v>
      </c>
      <c r="K351" s="100" t="s">
        <v>399</v>
      </c>
      <c r="L351" s="100">
        <v>29473.200000000001</v>
      </c>
      <c r="M351" s="102">
        <v>0.37030000000000002</v>
      </c>
      <c r="N351" s="100"/>
      <c r="O351" s="101">
        <f t="shared" si="31"/>
        <v>29486.6</v>
      </c>
      <c r="P351" s="101">
        <f t="shared" si="32"/>
        <v>30386.6</v>
      </c>
      <c r="Q351" s="101">
        <f t="shared" si="36"/>
        <v>913.4</v>
      </c>
      <c r="R351" s="101">
        <f t="shared" si="33"/>
        <v>29473.199999999997</v>
      </c>
      <c r="S351" s="101">
        <f t="shared" si="34"/>
        <v>0</v>
      </c>
      <c r="T351" s="103">
        <f t="shared" si="35"/>
        <v>0</v>
      </c>
    </row>
    <row r="352" spans="2:20" x14ac:dyDescent="0.25">
      <c r="B352" s="99">
        <v>348</v>
      </c>
      <c r="C352" s="100" t="s">
        <v>703</v>
      </c>
      <c r="D352" s="100">
        <v>26</v>
      </c>
      <c r="E352" s="100" t="s">
        <v>734</v>
      </c>
      <c r="F352" s="101">
        <v>10.6</v>
      </c>
      <c r="G352" s="101">
        <v>27560</v>
      </c>
      <c r="H352" s="100" t="s">
        <v>735</v>
      </c>
      <c r="I352" s="101">
        <v>0.55000000000000004</v>
      </c>
      <c r="J352" s="101">
        <v>1447.42</v>
      </c>
      <c r="K352" s="100" t="s">
        <v>399</v>
      </c>
      <c r="L352" s="100">
        <v>26095.16</v>
      </c>
      <c r="M352" s="102">
        <v>0.51739999999999997</v>
      </c>
      <c r="N352" s="100"/>
      <c r="O352" s="101">
        <f t="shared" si="31"/>
        <v>26112.58</v>
      </c>
      <c r="P352" s="101">
        <f t="shared" si="32"/>
        <v>27542.579999999998</v>
      </c>
      <c r="Q352" s="101">
        <f t="shared" si="36"/>
        <v>1447.42</v>
      </c>
      <c r="R352" s="101">
        <f t="shared" si="33"/>
        <v>26095.159999999996</v>
      </c>
      <c r="S352" s="101">
        <f t="shared" si="34"/>
        <v>0</v>
      </c>
      <c r="T352" s="103">
        <f t="shared" si="35"/>
        <v>0</v>
      </c>
    </row>
    <row r="353" spans="2:20" x14ac:dyDescent="0.25">
      <c r="B353" s="99">
        <v>349</v>
      </c>
      <c r="C353" s="100" t="s">
        <v>703</v>
      </c>
      <c r="D353" s="100">
        <v>32</v>
      </c>
      <c r="E353" s="100" t="s">
        <v>744</v>
      </c>
      <c r="F353" s="101">
        <v>9.6999999999999993</v>
      </c>
      <c r="G353" s="101">
        <v>31040</v>
      </c>
      <c r="H353" s="100" t="s">
        <v>745</v>
      </c>
      <c r="I353" s="101">
        <v>0.3</v>
      </c>
      <c r="J353" s="101">
        <v>981.44</v>
      </c>
      <c r="K353" s="100" t="s">
        <v>399</v>
      </c>
      <c r="L353" s="100">
        <v>30037.119999999999</v>
      </c>
      <c r="M353" s="102">
        <v>0.4864</v>
      </c>
      <c r="N353" s="100"/>
      <c r="O353" s="101">
        <f t="shared" si="31"/>
        <v>30058.560000000001</v>
      </c>
      <c r="P353" s="101">
        <f t="shared" si="32"/>
        <v>31018.559999999998</v>
      </c>
      <c r="Q353" s="101">
        <f t="shared" si="36"/>
        <v>981.44</v>
      </c>
      <c r="R353" s="101">
        <f t="shared" si="33"/>
        <v>30037.119999999999</v>
      </c>
      <c r="S353" s="101">
        <f t="shared" si="34"/>
        <v>0</v>
      </c>
      <c r="T353" s="103">
        <f t="shared" si="35"/>
        <v>0</v>
      </c>
    </row>
    <row r="354" spans="2:20" x14ac:dyDescent="0.25">
      <c r="B354" s="99">
        <v>350</v>
      </c>
      <c r="C354" s="100" t="s">
        <v>703</v>
      </c>
      <c r="D354" s="100">
        <v>34</v>
      </c>
      <c r="E354" s="100" t="s">
        <v>746</v>
      </c>
      <c r="F354" s="101">
        <v>8.6999999999999993</v>
      </c>
      <c r="G354" s="101">
        <v>29580</v>
      </c>
      <c r="H354" s="100" t="s">
        <v>745</v>
      </c>
      <c r="I354" s="101">
        <v>0.25</v>
      </c>
      <c r="J354" s="101">
        <v>872.78</v>
      </c>
      <c r="K354" s="100" t="s">
        <v>399</v>
      </c>
      <c r="L354" s="100">
        <v>28684.44</v>
      </c>
      <c r="M354" s="102">
        <v>0.43709999999999999</v>
      </c>
      <c r="N354" s="100"/>
      <c r="O354" s="101">
        <f t="shared" si="31"/>
        <v>28707.22</v>
      </c>
      <c r="P354" s="101">
        <f t="shared" si="32"/>
        <v>29557.219999999998</v>
      </c>
      <c r="Q354" s="101">
        <f t="shared" si="36"/>
        <v>872.78</v>
      </c>
      <c r="R354" s="101">
        <f t="shared" si="33"/>
        <v>28684.44</v>
      </c>
      <c r="S354" s="101">
        <f t="shared" si="34"/>
        <v>0</v>
      </c>
      <c r="T354" s="103">
        <f t="shared" si="35"/>
        <v>0</v>
      </c>
    </row>
    <row r="355" spans="2:20" x14ac:dyDescent="0.25">
      <c r="B355" s="99">
        <v>351</v>
      </c>
      <c r="C355" s="100" t="s">
        <v>703</v>
      </c>
      <c r="D355" s="100">
        <v>35</v>
      </c>
      <c r="E355" s="100" t="s">
        <v>747</v>
      </c>
      <c r="F355" s="101">
        <v>8.1</v>
      </c>
      <c r="G355" s="101">
        <v>28350</v>
      </c>
      <c r="H355" s="100" t="s">
        <v>745</v>
      </c>
      <c r="I355" s="101">
        <v>0.2</v>
      </c>
      <c r="J355" s="101">
        <v>723.45</v>
      </c>
      <c r="K355" s="100" t="s">
        <v>399</v>
      </c>
      <c r="L355" s="100">
        <v>27603.1</v>
      </c>
      <c r="M355" s="102">
        <v>0.4173</v>
      </c>
      <c r="N355" s="100"/>
      <c r="O355" s="101">
        <f t="shared" si="31"/>
        <v>27626.55</v>
      </c>
      <c r="P355" s="101">
        <f t="shared" si="32"/>
        <v>28326.55</v>
      </c>
      <c r="Q355" s="101">
        <f t="shared" si="36"/>
        <v>723.45</v>
      </c>
      <c r="R355" s="101">
        <f t="shared" si="33"/>
        <v>27603.1</v>
      </c>
      <c r="S355" s="101">
        <f t="shared" si="34"/>
        <v>0</v>
      </c>
      <c r="T355" s="103">
        <f t="shared" si="35"/>
        <v>0</v>
      </c>
    </row>
    <row r="356" spans="2:20" x14ac:dyDescent="0.25">
      <c r="B356" s="99">
        <v>352</v>
      </c>
      <c r="C356" s="100" t="s">
        <v>731</v>
      </c>
      <c r="D356" s="100">
        <v>25</v>
      </c>
      <c r="E356" s="100" t="s">
        <v>748</v>
      </c>
      <c r="F356" s="101">
        <v>12.1</v>
      </c>
      <c r="G356" s="101">
        <v>30250</v>
      </c>
      <c r="H356" s="100" t="s">
        <v>749</v>
      </c>
      <c r="I356" s="101">
        <v>5.6</v>
      </c>
      <c r="J356" s="101">
        <v>14016.75</v>
      </c>
      <c r="K356" s="100" t="s">
        <v>399</v>
      </c>
      <c r="L356" s="100">
        <v>16216.5</v>
      </c>
      <c r="M356" s="102">
        <v>0.16059999999999999</v>
      </c>
      <c r="N356" s="100"/>
      <c r="O356" s="101">
        <f t="shared" si="31"/>
        <v>16233.25</v>
      </c>
      <c r="P356" s="101">
        <f t="shared" si="32"/>
        <v>30233.25</v>
      </c>
      <c r="Q356" s="101">
        <f t="shared" si="36"/>
        <v>14016.75</v>
      </c>
      <c r="R356" s="101">
        <f t="shared" si="33"/>
        <v>16216.5</v>
      </c>
      <c r="S356" s="101">
        <f t="shared" si="34"/>
        <v>0</v>
      </c>
      <c r="T356" s="103">
        <f t="shared" si="35"/>
        <v>0</v>
      </c>
    </row>
    <row r="357" spans="2:20" x14ac:dyDescent="0.25">
      <c r="B357" s="99">
        <v>353</v>
      </c>
      <c r="C357" s="100" t="s">
        <v>731</v>
      </c>
      <c r="D357" s="100">
        <v>30</v>
      </c>
      <c r="E357" s="100" t="s">
        <v>750</v>
      </c>
      <c r="F357" s="101">
        <v>10.1</v>
      </c>
      <c r="G357" s="101">
        <v>30300</v>
      </c>
      <c r="H357" s="100" t="s">
        <v>749</v>
      </c>
      <c r="I357" s="101">
        <v>4.5999999999999996</v>
      </c>
      <c r="J357" s="101">
        <v>13820.1</v>
      </c>
      <c r="K357" s="100" t="s">
        <v>399</v>
      </c>
      <c r="L357" s="100">
        <v>16459.8</v>
      </c>
      <c r="M357" s="102">
        <v>0.13750000000000001</v>
      </c>
      <c r="N357" s="100"/>
      <c r="O357" s="101">
        <f t="shared" si="31"/>
        <v>16479.900000000001</v>
      </c>
      <c r="P357" s="101">
        <f t="shared" si="32"/>
        <v>30279.9</v>
      </c>
      <c r="Q357" s="101">
        <f t="shared" si="36"/>
        <v>13820.1</v>
      </c>
      <c r="R357" s="101">
        <f t="shared" si="33"/>
        <v>16459.800000000003</v>
      </c>
      <c r="S357" s="101">
        <f t="shared" si="34"/>
        <v>0</v>
      </c>
      <c r="T357" s="103">
        <f t="shared" si="35"/>
        <v>0</v>
      </c>
    </row>
    <row r="358" spans="2:20" x14ac:dyDescent="0.25">
      <c r="B358" s="99">
        <v>354</v>
      </c>
      <c r="C358" s="100" t="s">
        <v>731</v>
      </c>
      <c r="D358" s="100">
        <v>21</v>
      </c>
      <c r="E358" s="100" t="s">
        <v>751</v>
      </c>
      <c r="F358" s="101">
        <v>14</v>
      </c>
      <c r="G358" s="101">
        <v>29400</v>
      </c>
      <c r="H358" s="100" t="s">
        <v>752</v>
      </c>
      <c r="I358" s="101">
        <v>6.4</v>
      </c>
      <c r="J358" s="101">
        <v>13454.07</v>
      </c>
      <c r="K358" s="100" t="s">
        <v>399</v>
      </c>
      <c r="L358" s="100">
        <v>15931.86</v>
      </c>
      <c r="M358" s="102">
        <v>0.185</v>
      </c>
      <c r="N358" s="100"/>
      <c r="O358" s="101">
        <f t="shared" si="31"/>
        <v>15945.93</v>
      </c>
      <c r="P358" s="101">
        <f t="shared" si="32"/>
        <v>29385.93</v>
      </c>
      <c r="Q358" s="101">
        <f t="shared" si="36"/>
        <v>13454.07</v>
      </c>
      <c r="R358" s="101">
        <f t="shared" si="33"/>
        <v>15931.86</v>
      </c>
      <c r="S358" s="101">
        <f t="shared" si="34"/>
        <v>0</v>
      </c>
      <c r="T358" s="103">
        <f t="shared" si="35"/>
        <v>0</v>
      </c>
    </row>
    <row r="359" spans="2:20" x14ac:dyDescent="0.25">
      <c r="B359" s="99">
        <v>355</v>
      </c>
      <c r="C359" s="100" t="s">
        <v>731</v>
      </c>
      <c r="D359" s="100">
        <v>16</v>
      </c>
      <c r="E359" s="100" t="s">
        <v>753</v>
      </c>
      <c r="F359" s="101">
        <v>18.5</v>
      </c>
      <c r="G359" s="101">
        <v>29600</v>
      </c>
      <c r="H359" s="100" t="s">
        <v>754</v>
      </c>
      <c r="I359" s="101">
        <v>8.3000000000000007</v>
      </c>
      <c r="J359" s="101">
        <v>13290.72</v>
      </c>
      <c r="K359" s="100" t="s">
        <v>399</v>
      </c>
      <c r="L359" s="100">
        <v>16298.56</v>
      </c>
      <c r="M359" s="102">
        <v>0.2455</v>
      </c>
      <c r="N359" s="100"/>
      <c r="O359" s="101">
        <f t="shared" si="31"/>
        <v>16309.28</v>
      </c>
      <c r="P359" s="101">
        <f t="shared" si="32"/>
        <v>29589.279999999999</v>
      </c>
      <c r="Q359" s="101">
        <f t="shared" si="36"/>
        <v>13290.720000000001</v>
      </c>
      <c r="R359" s="101">
        <f t="shared" si="33"/>
        <v>16298.559999999998</v>
      </c>
      <c r="S359" s="101">
        <f t="shared" si="34"/>
        <v>0</v>
      </c>
      <c r="T359" s="103">
        <f t="shared" si="35"/>
        <v>0</v>
      </c>
    </row>
    <row r="360" spans="2:20" x14ac:dyDescent="0.25">
      <c r="B360" s="99">
        <v>356</v>
      </c>
      <c r="C360" s="100" t="s">
        <v>703</v>
      </c>
      <c r="D360" s="100">
        <v>38</v>
      </c>
      <c r="E360" s="100" t="s">
        <v>762</v>
      </c>
      <c r="F360" s="101">
        <v>7.4</v>
      </c>
      <c r="G360" s="101">
        <v>28120</v>
      </c>
      <c r="H360" s="100" t="s">
        <v>763</v>
      </c>
      <c r="I360" s="101">
        <v>0.3</v>
      </c>
      <c r="J360" s="101">
        <v>1165.46</v>
      </c>
      <c r="K360" s="100" t="s">
        <v>399</v>
      </c>
      <c r="L360" s="100">
        <v>26929.08</v>
      </c>
      <c r="M360" s="102">
        <v>0.38100000000000001</v>
      </c>
      <c r="N360" s="100"/>
      <c r="O360" s="101">
        <f t="shared" si="31"/>
        <v>26954.54</v>
      </c>
      <c r="P360" s="101">
        <f t="shared" si="32"/>
        <v>28094.54</v>
      </c>
      <c r="Q360" s="101">
        <f t="shared" si="36"/>
        <v>1165.46</v>
      </c>
      <c r="R360" s="101">
        <f t="shared" si="33"/>
        <v>26929.08</v>
      </c>
      <c r="S360" s="101">
        <f t="shared" si="34"/>
        <v>0</v>
      </c>
      <c r="T360" s="103">
        <f t="shared" si="35"/>
        <v>0</v>
      </c>
    </row>
    <row r="361" spans="2:20" x14ac:dyDescent="0.25">
      <c r="B361" s="99">
        <v>357</v>
      </c>
      <c r="C361" s="100" t="s">
        <v>731</v>
      </c>
      <c r="D361" s="100">
        <v>16</v>
      </c>
      <c r="E361" s="100" t="s">
        <v>764</v>
      </c>
      <c r="F361" s="101">
        <v>17</v>
      </c>
      <c r="G361" s="101">
        <v>27200</v>
      </c>
      <c r="H361" s="100" t="s">
        <v>765</v>
      </c>
      <c r="I361" s="101">
        <v>2</v>
      </c>
      <c r="J361" s="101">
        <v>3210.72</v>
      </c>
      <c r="K361" s="100" t="s">
        <v>399</v>
      </c>
      <c r="L361" s="100">
        <v>23978.560000000001</v>
      </c>
      <c r="M361" s="102">
        <v>0.31219999999999998</v>
      </c>
      <c r="N361" s="100"/>
      <c r="O361" s="101">
        <f t="shared" si="31"/>
        <v>23989.279999999999</v>
      </c>
      <c r="P361" s="101">
        <f t="shared" si="32"/>
        <v>27189.279999999999</v>
      </c>
      <c r="Q361" s="101">
        <f t="shared" si="36"/>
        <v>3210.72</v>
      </c>
      <c r="R361" s="101">
        <f t="shared" si="33"/>
        <v>23978.559999999998</v>
      </c>
      <c r="S361" s="101">
        <f t="shared" si="34"/>
        <v>0</v>
      </c>
      <c r="T361" s="103">
        <f t="shared" si="35"/>
        <v>0</v>
      </c>
    </row>
    <row r="362" spans="2:20" x14ac:dyDescent="0.25">
      <c r="B362" s="99">
        <v>358</v>
      </c>
      <c r="C362" s="100" t="s">
        <v>766</v>
      </c>
      <c r="D362" s="100">
        <v>69</v>
      </c>
      <c r="E362" s="100" t="s">
        <v>767</v>
      </c>
      <c r="F362" s="101">
        <v>3.95</v>
      </c>
      <c r="G362" s="101">
        <v>27255</v>
      </c>
      <c r="H362" s="100" t="s">
        <v>768</v>
      </c>
      <c r="I362" s="101">
        <v>1.9</v>
      </c>
      <c r="J362" s="101">
        <v>13156.23</v>
      </c>
      <c r="K362" s="100" t="s">
        <v>399</v>
      </c>
      <c r="L362" s="100">
        <v>14052.54</v>
      </c>
      <c r="M362" s="102">
        <v>5.28E-2</v>
      </c>
      <c r="N362" s="100"/>
      <c r="O362" s="101">
        <f t="shared" si="31"/>
        <v>14098.77</v>
      </c>
      <c r="P362" s="101">
        <f t="shared" si="32"/>
        <v>27208.77</v>
      </c>
      <c r="Q362" s="101">
        <f t="shared" si="36"/>
        <v>13156.23</v>
      </c>
      <c r="R362" s="101">
        <f t="shared" si="33"/>
        <v>14052.54</v>
      </c>
      <c r="S362" s="101">
        <f t="shared" si="34"/>
        <v>0</v>
      </c>
      <c r="T362" s="103">
        <f t="shared" si="35"/>
        <v>0</v>
      </c>
    </row>
    <row r="363" spans="2:20" x14ac:dyDescent="0.25">
      <c r="B363" s="99">
        <v>359</v>
      </c>
      <c r="C363" s="100" t="s">
        <v>769</v>
      </c>
      <c r="D363" s="100">
        <v>46</v>
      </c>
      <c r="E363" s="100" t="s">
        <v>758</v>
      </c>
      <c r="F363" s="101">
        <v>6</v>
      </c>
      <c r="G363" s="101">
        <v>27600</v>
      </c>
      <c r="H363" s="100" t="s">
        <v>770</v>
      </c>
      <c r="I363" s="101">
        <v>2.75</v>
      </c>
      <c r="J363" s="101">
        <v>12680.82</v>
      </c>
      <c r="K363" s="100" t="s">
        <v>399</v>
      </c>
      <c r="L363" s="100">
        <v>14888.36</v>
      </c>
      <c r="M363" s="102">
        <v>5.0599999999999999E-2</v>
      </c>
      <c r="N363" s="100"/>
      <c r="O363" s="101">
        <f t="shared" si="31"/>
        <v>14919.18</v>
      </c>
      <c r="P363" s="101">
        <f t="shared" si="32"/>
        <v>27569.18</v>
      </c>
      <c r="Q363" s="101">
        <f t="shared" si="36"/>
        <v>12680.82</v>
      </c>
      <c r="R363" s="101">
        <f t="shared" si="33"/>
        <v>14888.36</v>
      </c>
      <c r="S363" s="101">
        <f t="shared" si="34"/>
        <v>0</v>
      </c>
      <c r="T363" s="103">
        <f t="shared" si="35"/>
        <v>0</v>
      </c>
    </row>
    <row r="364" spans="2:20" x14ac:dyDescent="0.25">
      <c r="B364" s="99">
        <v>360</v>
      </c>
      <c r="C364" s="100" t="s">
        <v>769</v>
      </c>
      <c r="D364" s="100">
        <v>45</v>
      </c>
      <c r="E364" s="100" t="s">
        <v>771</v>
      </c>
      <c r="F364" s="101">
        <v>6</v>
      </c>
      <c r="G364" s="101">
        <v>27000</v>
      </c>
      <c r="H364" s="100" t="s">
        <v>772</v>
      </c>
      <c r="I364" s="101">
        <v>3</v>
      </c>
      <c r="J364" s="101">
        <v>13530.15</v>
      </c>
      <c r="K364" s="100" t="s">
        <v>399</v>
      </c>
      <c r="L364" s="100">
        <v>13439.7</v>
      </c>
      <c r="M364" s="102">
        <v>4.6699999999999998E-2</v>
      </c>
      <c r="N364" s="100"/>
      <c r="O364" s="101">
        <f t="shared" si="31"/>
        <v>13469.85</v>
      </c>
      <c r="P364" s="101">
        <f t="shared" si="32"/>
        <v>26969.85</v>
      </c>
      <c r="Q364" s="101">
        <f t="shared" si="36"/>
        <v>13530.15</v>
      </c>
      <c r="R364" s="101">
        <f t="shared" si="33"/>
        <v>13439.699999999999</v>
      </c>
      <c r="S364" s="101">
        <f t="shared" si="34"/>
        <v>0</v>
      </c>
      <c r="T364" s="103">
        <f t="shared" si="35"/>
        <v>0</v>
      </c>
    </row>
    <row r="365" spans="2:20" x14ac:dyDescent="0.25">
      <c r="B365" s="99">
        <v>361</v>
      </c>
      <c r="C365" s="100" t="s">
        <v>773</v>
      </c>
      <c r="D365" s="100">
        <v>17</v>
      </c>
      <c r="E365" s="100" t="s">
        <v>745</v>
      </c>
      <c r="F365" s="101">
        <v>16.7</v>
      </c>
      <c r="G365" s="101">
        <v>28390</v>
      </c>
      <c r="H365" s="100" t="s">
        <v>774</v>
      </c>
      <c r="I365" s="101">
        <v>8.3000000000000007</v>
      </c>
      <c r="J365" s="101">
        <v>14121.39</v>
      </c>
      <c r="K365" s="100" t="s">
        <v>399</v>
      </c>
      <c r="L365" s="100">
        <v>14257.22</v>
      </c>
      <c r="M365" s="102">
        <v>4.7E-2</v>
      </c>
      <c r="N365" s="100"/>
      <c r="O365" s="101">
        <f t="shared" si="31"/>
        <v>14268.61</v>
      </c>
      <c r="P365" s="101">
        <f t="shared" si="32"/>
        <v>28378.609999999997</v>
      </c>
      <c r="Q365" s="101">
        <f t="shared" si="36"/>
        <v>14121.390000000001</v>
      </c>
      <c r="R365" s="101">
        <f t="shared" si="33"/>
        <v>14257.219999999996</v>
      </c>
      <c r="S365" s="101">
        <f t="shared" si="34"/>
        <v>0</v>
      </c>
      <c r="T365" s="103">
        <f t="shared" si="35"/>
        <v>0</v>
      </c>
    </row>
    <row r="366" spans="2:20" x14ac:dyDescent="0.25">
      <c r="B366" s="99">
        <v>362</v>
      </c>
      <c r="C366" s="100" t="s">
        <v>773</v>
      </c>
      <c r="D366" s="100">
        <v>17</v>
      </c>
      <c r="E366" s="100" t="s">
        <v>775</v>
      </c>
      <c r="F366" s="101">
        <v>16.399999999999999</v>
      </c>
      <c r="G366" s="101">
        <v>27880</v>
      </c>
      <c r="H366" s="100" t="s">
        <v>774</v>
      </c>
      <c r="I366" s="101">
        <v>8</v>
      </c>
      <c r="J366" s="101">
        <v>13611.39</v>
      </c>
      <c r="K366" s="100" t="s">
        <v>399</v>
      </c>
      <c r="L366" s="100">
        <v>14257.22</v>
      </c>
      <c r="M366" s="102">
        <v>4.9700000000000001E-2</v>
      </c>
      <c r="N366" s="100"/>
      <c r="O366" s="101">
        <f t="shared" si="31"/>
        <v>14268.61</v>
      </c>
      <c r="P366" s="101">
        <f t="shared" si="32"/>
        <v>27868.609999999997</v>
      </c>
      <c r="Q366" s="101">
        <f t="shared" si="36"/>
        <v>13611.39</v>
      </c>
      <c r="R366" s="101">
        <f t="shared" si="33"/>
        <v>14257.219999999998</v>
      </c>
      <c r="S366" s="101">
        <f t="shared" si="34"/>
        <v>0</v>
      </c>
      <c r="T366" s="103">
        <f t="shared" si="35"/>
        <v>0</v>
      </c>
    </row>
    <row r="367" spans="2:20" x14ac:dyDescent="0.25">
      <c r="B367" s="99">
        <v>363</v>
      </c>
      <c r="C367" s="100" t="s">
        <v>773</v>
      </c>
      <c r="D367" s="100">
        <v>15</v>
      </c>
      <c r="E367" s="100" t="s">
        <v>776</v>
      </c>
      <c r="F367" s="101">
        <v>18.399999999999999</v>
      </c>
      <c r="G367" s="101">
        <v>27600</v>
      </c>
      <c r="H367" s="100" t="s">
        <v>777</v>
      </c>
      <c r="I367" s="101">
        <v>8.4</v>
      </c>
      <c r="J367" s="101">
        <v>12610.05</v>
      </c>
      <c r="K367" s="100" t="s">
        <v>399</v>
      </c>
      <c r="L367" s="100">
        <v>14979.9</v>
      </c>
      <c r="M367" s="102">
        <v>5.6500000000000002E-2</v>
      </c>
      <c r="N367" s="100"/>
      <c r="O367" s="101">
        <f t="shared" si="31"/>
        <v>14989.95</v>
      </c>
      <c r="P367" s="101">
        <f t="shared" si="32"/>
        <v>27589.95</v>
      </c>
      <c r="Q367" s="101">
        <f t="shared" si="36"/>
        <v>12610.05</v>
      </c>
      <c r="R367" s="101">
        <f t="shared" si="33"/>
        <v>14979.900000000001</v>
      </c>
      <c r="S367" s="101">
        <f t="shared" si="34"/>
        <v>0</v>
      </c>
      <c r="T367" s="103">
        <f t="shared" si="35"/>
        <v>0</v>
      </c>
    </row>
    <row r="368" spans="2:20" x14ac:dyDescent="0.25">
      <c r="B368" s="99">
        <v>364</v>
      </c>
      <c r="C368" s="100" t="s">
        <v>773</v>
      </c>
      <c r="D368" s="100">
        <v>15</v>
      </c>
      <c r="E368" s="100" t="s">
        <v>778</v>
      </c>
      <c r="F368" s="101">
        <v>18</v>
      </c>
      <c r="G368" s="101">
        <v>27000</v>
      </c>
      <c r="H368" s="100" t="s">
        <v>777</v>
      </c>
      <c r="I368" s="101">
        <v>7.5</v>
      </c>
      <c r="J368" s="101">
        <v>11260.05</v>
      </c>
      <c r="K368" s="100" t="s">
        <v>399</v>
      </c>
      <c r="L368" s="100">
        <v>15729.9</v>
      </c>
      <c r="M368" s="102">
        <v>6.0999999999999999E-2</v>
      </c>
      <c r="N368" s="100"/>
      <c r="O368" s="101">
        <f t="shared" si="31"/>
        <v>15739.95</v>
      </c>
      <c r="P368" s="101">
        <f t="shared" si="32"/>
        <v>26989.95</v>
      </c>
      <c r="Q368" s="101">
        <f t="shared" si="36"/>
        <v>11260.05</v>
      </c>
      <c r="R368" s="101">
        <f t="shared" si="33"/>
        <v>15729.900000000001</v>
      </c>
      <c r="S368" s="101">
        <f t="shared" si="34"/>
        <v>0</v>
      </c>
      <c r="T368" s="103">
        <f t="shared" si="35"/>
        <v>0</v>
      </c>
    </row>
    <row r="369" spans="2:20" x14ac:dyDescent="0.25">
      <c r="B369" s="99">
        <v>365</v>
      </c>
      <c r="C369" s="100" t="s">
        <v>773</v>
      </c>
      <c r="D369" s="100">
        <v>16</v>
      </c>
      <c r="E369" s="100" t="s">
        <v>779</v>
      </c>
      <c r="F369" s="101">
        <v>17.7</v>
      </c>
      <c r="G369" s="101">
        <v>28320</v>
      </c>
      <c r="H369" s="100" t="s">
        <v>777</v>
      </c>
      <c r="I369" s="101">
        <v>7.8</v>
      </c>
      <c r="J369" s="101">
        <v>12490.72</v>
      </c>
      <c r="K369" s="100" t="s">
        <v>399</v>
      </c>
      <c r="L369" s="100">
        <v>15818.56</v>
      </c>
      <c r="M369" s="102">
        <v>5.4199999999999998E-2</v>
      </c>
      <c r="N369" s="100"/>
      <c r="O369" s="101">
        <f t="shared" si="31"/>
        <v>15829.28</v>
      </c>
      <c r="P369" s="101">
        <f t="shared" si="32"/>
        <v>28309.279999999999</v>
      </c>
      <c r="Q369" s="101">
        <f t="shared" si="36"/>
        <v>12490.72</v>
      </c>
      <c r="R369" s="101">
        <f t="shared" si="33"/>
        <v>15818.56</v>
      </c>
      <c r="S369" s="101">
        <f t="shared" si="34"/>
        <v>0</v>
      </c>
      <c r="T369" s="103">
        <f t="shared" si="35"/>
        <v>0</v>
      </c>
    </row>
    <row r="370" spans="2:20" x14ac:dyDescent="0.25">
      <c r="B370" s="99">
        <v>366</v>
      </c>
      <c r="C370" s="100" t="s">
        <v>773</v>
      </c>
      <c r="D370" s="100">
        <v>15</v>
      </c>
      <c r="E370" s="100" t="s">
        <v>780</v>
      </c>
      <c r="F370" s="101">
        <v>19.399999999999999</v>
      </c>
      <c r="G370" s="101">
        <v>29100</v>
      </c>
      <c r="H370" s="100" t="s">
        <v>777</v>
      </c>
      <c r="I370" s="101">
        <v>9.6</v>
      </c>
      <c r="J370" s="101">
        <v>14410.05</v>
      </c>
      <c r="K370" s="100" t="s">
        <v>399</v>
      </c>
      <c r="L370" s="100">
        <v>14679.9</v>
      </c>
      <c r="M370" s="102">
        <v>5.4199999999999998E-2</v>
      </c>
      <c r="N370" s="100"/>
      <c r="O370" s="101">
        <f t="shared" si="31"/>
        <v>14689.95</v>
      </c>
      <c r="P370" s="101">
        <f t="shared" si="32"/>
        <v>29089.95</v>
      </c>
      <c r="Q370" s="101">
        <f t="shared" si="36"/>
        <v>14410.05</v>
      </c>
      <c r="R370" s="101">
        <f t="shared" si="33"/>
        <v>14679.900000000001</v>
      </c>
      <c r="S370" s="101">
        <f t="shared" si="34"/>
        <v>0</v>
      </c>
      <c r="T370" s="103">
        <f t="shared" si="35"/>
        <v>0</v>
      </c>
    </row>
    <row r="371" spans="2:20" x14ac:dyDescent="0.25">
      <c r="B371" s="99">
        <v>367</v>
      </c>
      <c r="C371" s="100" t="s">
        <v>781</v>
      </c>
      <c r="D371" s="100">
        <v>73</v>
      </c>
      <c r="E371" s="100" t="s">
        <v>782</v>
      </c>
      <c r="F371" s="101">
        <v>3.8</v>
      </c>
      <c r="G371" s="101">
        <v>27740</v>
      </c>
      <c r="H371" s="100" t="s">
        <v>777</v>
      </c>
      <c r="I371" s="101">
        <v>1.89</v>
      </c>
      <c r="J371" s="101">
        <v>13845.91</v>
      </c>
      <c r="K371" s="100" t="s">
        <v>399</v>
      </c>
      <c r="L371" s="100">
        <v>13845.18</v>
      </c>
      <c r="M371" s="102">
        <v>5.2400000000000002E-2</v>
      </c>
      <c r="N371" s="100"/>
      <c r="O371" s="101">
        <f t="shared" si="31"/>
        <v>13894.09</v>
      </c>
      <c r="P371" s="101">
        <f t="shared" si="32"/>
        <v>27691.089999999997</v>
      </c>
      <c r="Q371" s="101">
        <f t="shared" si="36"/>
        <v>13845.91</v>
      </c>
      <c r="R371" s="101">
        <f t="shared" si="33"/>
        <v>13845.179999999997</v>
      </c>
      <c r="S371" s="101">
        <f t="shared" si="34"/>
        <v>0</v>
      </c>
      <c r="T371" s="103">
        <f t="shared" si="35"/>
        <v>0</v>
      </c>
    </row>
    <row r="372" spans="2:20" x14ac:dyDescent="0.25">
      <c r="B372" s="99">
        <v>368</v>
      </c>
      <c r="C372" s="100" t="s">
        <v>781</v>
      </c>
      <c r="D372" s="100">
        <v>77</v>
      </c>
      <c r="E372" s="100" t="s">
        <v>783</v>
      </c>
      <c r="F372" s="101">
        <v>3.75</v>
      </c>
      <c r="G372" s="101">
        <v>28875</v>
      </c>
      <c r="H372" s="100" t="s">
        <v>784</v>
      </c>
      <c r="I372" s="101">
        <v>1.83</v>
      </c>
      <c r="J372" s="101">
        <v>14142.59</v>
      </c>
      <c r="K372" s="100" t="s">
        <v>399</v>
      </c>
      <c r="L372" s="100">
        <v>14680.82</v>
      </c>
      <c r="M372" s="102">
        <v>4.9799999999999997E-2</v>
      </c>
      <c r="N372" s="100"/>
      <c r="O372" s="101">
        <f t="shared" si="31"/>
        <v>14732.41</v>
      </c>
      <c r="P372" s="101">
        <f t="shared" si="32"/>
        <v>28823.41</v>
      </c>
      <c r="Q372" s="101">
        <f t="shared" si="36"/>
        <v>14142.59</v>
      </c>
      <c r="R372" s="101">
        <f t="shared" si="33"/>
        <v>14680.82</v>
      </c>
      <c r="S372" s="101">
        <f t="shared" si="34"/>
        <v>0</v>
      </c>
      <c r="T372" s="103">
        <f t="shared" si="35"/>
        <v>0</v>
      </c>
    </row>
    <row r="373" spans="2:20" x14ac:dyDescent="0.25">
      <c r="B373" s="99">
        <v>369</v>
      </c>
      <c r="C373" s="100" t="s">
        <v>785</v>
      </c>
      <c r="D373" s="100">
        <v>39</v>
      </c>
      <c r="E373" s="100" t="s">
        <v>786</v>
      </c>
      <c r="F373" s="101">
        <v>6.85</v>
      </c>
      <c r="G373" s="101">
        <v>26715</v>
      </c>
      <c r="H373" s="100" t="s">
        <v>787</v>
      </c>
      <c r="I373" s="101">
        <v>3.35</v>
      </c>
      <c r="J373" s="101">
        <v>13091.13</v>
      </c>
      <c r="K373" s="100" t="s">
        <v>399</v>
      </c>
      <c r="L373" s="100">
        <v>13597.74</v>
      </c>
      <c r="M373" s="102">
        <v>4.7699999999999999E-2</v>
      </c>
      <c r="N373" s="100"/>
      <c r="O373" s="101">
        <f t="shared" si="31"/>
        <v>13623.87</v>
      </c>
      <c r="P373" s="101">
        <f t="shared" si="32"/>
        <v>26688.869999999995</v>
      </c>
      <c r="Q373" s="101">
        <f t="shared" si="36"/>
        <v>13091.13</v>
      </c>
      <c r="R373" s="101">
        <f t="shared" si="33"/>
        <v>13597.739999999996</v>
      </c>
      <c r="S373" s="101">
        <f t="shared" si="34"/>
        <v>0</v>
      </c>
      <c r="T373" s="103">
        <f t="shared" si="35"/>
        <v>0</v>
      </c>
    </row>
    <row r="374" spans="2:20" x14ac:dyDescent="0.25">
      <c r="B374" s="99">
        <v>370</v>
      </c>
      <c r="C374" s="100" t="s">
        <v>731</v>
      </c>
      <c r="D374" s="100">
        <v>28</v>
      </c>
      <c r="E374" s="100" t="s">
        <v>784</v>
      </c>
      <c r="F374" s="101">
        <v>11.4</v>
      </c>
      <c r="G374" s="101">
        <v>31920</v>
      </c>
      <c r="H374" s="100" t="s">
        <v>791</v>
      </c>
      <c r="I374" s="101">
        <v>0.75</v>
      </c>
      <c r="J374" s="101">
        <v>2118.7600000000002</v>
      </c>
      <c r="K374" s="100" t="s">
        <v>399</v>
      </c>
      <c r="L374" s="100">
        <v>29782.48</v>
      </c>
      <c r="M374" s="102">
        <v>0.24399999999999999</v>
      </c>
      <c r="N374" s="100"/>
      <c r="O374" s="101">
        <f t="shared" si="31"/>
        <v>29801.239999999998</v>
      </c>
      <c r="P374" s="101">
        <f t="shared" si="32"/>
        <v>31901.24</v>
      </c>
      <c r="Q374" s="101">
        <f t="shared" si="36"/>
        <v>2118.7600000000002</v>
      </c>
      <c r="R374" s="101">
        <f t="shared" si="33"/>
        <v>29782.480000000003</v>
      </c>
      <c r="S374" s="101">
        <f t="shared" si="34"/>
        <v>0</v>
      </c>
      <c r="T374" s="103">
        <f t="shared" si="35"/>
        <v>0</v>
      </c>
    </row>
    <row r="375" spans="2:20" x14ac:dyDescent="0.25">
      <c r="B375" s="99">
        <v>371</v>
      </c>
      <c r="C375" s="100" t="s">
        <v>731</v>
      </c>
      <c r="D375" s="100">
        <v>32</v>
      </c>
      <c r="E375" s="100" t="s">
        <v>792</v>
      </c>
      <c r="F375" s="101">
        <v>10.6</v>
      </c>
      <c r="G375" s="101">
        <v>33920</v>
      </c>
      <c r="H375" s="100" t="s">
        <v>793</v>
      </c>
      <c r="I375" s="101">
        <v>0.85</v>
      </c>
      <c r="J375" s="101">
        <v>2741.44</v>
      </c>
      <c r="K375" s="100" t="s">
        <v>399</v>
      </c>
      <c r="L375" s="100">
        <v>31157.119999999999</v>
      </c>
      <c r="M375" s="102">
        <v>0.21929999999999999</v>
      </c>
      <c r="N375" s="100"/>
      <c r="O375" s="101">
        <f t="shared" si="31"/>
        <v>31178.560000000001</v>
      </c>
      <c r="P375" s="101">
        <f t="shared" si="32"/>
        <v>33898.559999999998</v>
      </c>
      <c r="Q375" s="101">
        <f t="shared" si="36"/>
        <v>2741.44</v>
      </c>
      <c r="R375" s="101">
        <f t="shared" si="33"/>
        <v>31157.119999999999</v>
      </c>
      <c r="S375" s="101">
        <f t="shared" si="34"/>
        <v>0</v>
      </c>
      <c r="T375" s="103">
        <f t="shared" si="35"/>
        <v>0</v>
      </c>
    </row>
    <row r="376" spans="2:20" x14ac:dyDescent="0.25">
      <c r="B376" s="99">
        <v>372</v>
      </c>
      <c r="C376" s="100" t="s">
        <v>731</v>
      </c>
      <c r="D376" s="100">
        <v>32</v>
      </c>
      <c r="E376" s="100" t="s">
        <v>794</v>
      </c>
      <c r="F376" s="101">
        <v>10.7</v>
      </c>
      <c r="G376" s="101">
        <v>34240</v>
      </c>
      <c r="H376" s="100" t="s">
        <v>795</v>
      </c>
      <c r="I376" s="101">
        <v>0.8</v>
      </c>
      <c r="J376" s="101">
        <v>2581.44</v>
      </c>
      <c r="K376" s="100" t="s">
        <v>399</v>
      </c>
      <c r="L376" s="100">
        <v>31637.119999999999</v>
      </c>
      <c r="M376" s="102">
        <v>0.22320000000000001</v>
      </c>
      <c r="N376" s="100"/>
      <c r="O376" s="101">
        <f t="shared" si="31"/>
        <v>31658.560000000001</v>
      </c>
      <c r="P376" s="101">
        <f t="shared" si="32"/>
        <v>34218.559999999998</v>
      </c>
      <c r="Q376" s="101">
        <f t="shared" si="36"/>
        <v>2581.44</v>
      </c>
      <c r="R376" s="101">
        <f t="shared" si="33"/>
        <v>31637.119999999999</v>
      </c>
      <c r="S376" s="101">
        <f t="shared" si="34"/>
        <v>0</v>
      </c>
      <c r="T376" s="103">
        <f t="shared" si="35"/>
        <v>0</v>
      </c>
    </row>
    <row r="377" spans="2:20" x14ac:dyDescent="0.25">
      <c r="B377" s="99">
        <v>373</v>
      </c>
      <c r="C377" s="100" t="s">
        <v>788</v>
      </c>
      <c r="D377" s="100">
        <v>64</v>
      </c>
      <c r="E377" s="100" t="s">
        <v>723</v>
      </c>
      <c r="F377" s="101">
        <v>4.9000000000000004</v>
      </c>
      <c r="G377" s="101">
        <v>31360</v>
      </c>
      <c r="H377" s="100" t="s">
        <v>801</v>
      </c>
      <c r="I377" s="101">
        <v>2.4</v>
      </c>
      <c r="J377" s="101">
        <v>15402.88</v>
      </c>
      <c r="K377" s="100" t="s">
        <v>399</v>
      </c>
      <c r="L377" s="100">
        <v>15914.24</v>
      </c>
      <c r="M377" s="102">
        <v>0.13020000000000001</v>
      </c>
      <c r="N377" s="100"/>
      <c r="O377" s="101">
        <f t="shared" si="31"/>
        <v>15957.12</v>
      </c>
      <c r="P377" s="101">
        <f t="shared" si="32"/>
        <v>31317.120000000003</v>
      </c>
      <c r="Q377" s="101">
        <f t="shared" si="36"/>
        <v>15402.88</v>
      </c>
      <c r="R377" s="101">
        <f t="shared" si="33"/>
        <v>15914.240000000003</v>
      </c>
      <c r="S377" s="101">
        <f t="shared" si="34"/>
        <v>0</v>
      </c>
      <c r="T377" s="103">
        <f t="shared" si="35"/>
        <v>0</v>
      </c>
    </row>
    <row r="378" spans="2:20" x14ac:dyDescent="0.25">
      <c r="B378" s="99">
        <v>374</v>
      </c>
      <c r="C378" s="100" t="s">
        <v>589</v>
      </c>
      <c r="D378" s="100">
        <v>14</v>
      </c>
      <c r="E378" s="100" t="s">
        <v>802</v>
      </c>
      <c r="F378" s="101">
        <v>23</v>
      </c>
      <c r="G378" s="101">
        <v>32200</v>
      </c>
      <c r="H378" s="100" t="s">
        <v>803</v>
      </c>
      <c r="I378" s="101">
        <v>11.35</v>
      </c>
      <c r="J378" s="101">
        <v>15899.38</v>
      </c>
      <c r="K378" s="100" t="s">
        <v>399</v>
      </c>
      <c r="L378" s="100">
        <v>16291.24</v>
      </c>
      <c r="M378" s="102">
        <v>7.1800000000000003E-2</v>
      </c>
      <c r="N378" s="100"/>
      <c r="O378" s="101">
        <f t="shared" si="31"/>
        <v>16300.62</v>
      </c>
      <c r="P378" s="101">
        <f t="shared" si="32"/>
        <v>32190.62</v>
      </c>
      <c r="Q378" s="101">
        <f t="shared" si="36"/>
        <v>15899.38</v>
      </c>
      <c r="R378" s="101">
        <f t="shared" si="33"/>
        <v>16291.24</v>
      </c>
      <c r="S378" s="101">
        <f t="shared" si="34"/>
        <v>0</v>
      </c>
      <c r="T378" s="103">
        <f t="shared" si="35"/>
        <v>0</v>
      </c>
    </row>
    <row r="379" spans="2:20" x14ac:dyDescent="0.25">
      <c r="B379" s="99">
        <v>375</v>
      </c>
      <c r="C379" s="100" t="s">
        <v>589</v>
      </c>
      <c r="D379" s="100">
        <v>16</v>
      </c>
      <c r="E379" s="100" t="s">
        <v>804</v>
      </c>
      <c r="F379" s="101">
        <v>20</v>
      </c>
      <c r="G379" s="101">
        <v>32000</v>
      </c>
      <c r="H379" s="100" t="s">
        <v>803</v>
      </c>
      <c r="I379" s="101">
        <v>9.5</v>
      </c>
      <c r="J379" s="101">
        <v>15210.72</v>
      </c>
      <c r="K379" s="100" t="s">
        <v>399</v>
      </c>
      <c r="L379" s="100">
        <v>16778.560000000001</v>
      </c>
      <c r="M379" s="102">
        <v>6.7699999999999996E-2</v>
      </c>
      <c r="N379" s="100"/>
      <c r="O379" s="101">
        <f t="shared" si="31"/>
        <v>16789.28</v>
      </c>
      <c r="P379" s="101">
        <f t="shared" si="32"/>
        <v>31989.279999999999</v>
      </c>
      <c r="Q379" s="101">
        <f t="shared" si="36"/>
        <v>15210.72</v>
      </c>
      <c r="R379" s="101">
        <f t="shared" si="33"/>
        <v>16778.559999999998</v>
      </c>
      <c r="S379" s="101">
        <f t="shared" si="34"/>
        <v>0</v>
      </c>
      <c r="T379" s="103">
        <f t="shared" si="35"/>
        <v>0</v>
      </c>
    </row>
    <row r="380" spans="2:20" x14ac:dyDescent="0.25">
      <c r="B380" s="99">
        <v>376</v>
      </c>
      <c r="C380" s="100" t="s">
        <v>589</v>
      </c>
      <c r="D380" s="100">
        <v>19</v>
      </c>
      <c r="E380" s="100" t="s">
        <v>805</v>
      </c>
      <c r="F380" s="101">
        <v>17.649999999999999</v>
      </c>
      <c r="G380" s="101">
        <v>33535</v>
      </c>
      <c r="H380" s="100" t="s">
        <v>803</v>
      </c>
      <c r="I380" s="101">
        <v>8.6</v>
      </c>
      <c r="J380" s="101">
        <v>16352.73</v>
      </c>
      <c r="K380" s="100" t="s">
        <v>399</v>
      </c>
      <c r="L380" s="100">
        <v>17169.54</v>
      </c>
      <c r="M380" s="102">
        <v>5.9299999999999999E-2</v>
      </c>
      <c r="N380" s="100"/>
      <c r="O380" s="101">
        <f t="shared" si="31"/>
        <v>17182.27</v>
      </c>
      <c r="P380" s="101">
        <f t="shared" si="32"/>
        <v>33522.269999999997</v>
      </c>
      <c r="Q380" s="101">
        <f t="shared" si="36"/>
        <v>16352.73</v>
      </c>
      <c r="R380" s="101">
        <f t="shared" si="33"/>
        <v>17169.539999999997</v>
      </c>
      <c r="S380" s="101">
        <f t="shared" si="34"/>
        <v>0</v>
      </c>
      <c r="T380" s="103">
        <f t="shared" si="35"/>
        <v>0</v>
      </c>
    </row>
    <row r="381" spans="2:20" x14ac:dyDescent="0.25">
      <c r="B381" s="99">
        <v>377</v>
      </c>
      <c r="C381" s="100" t="s">
        <v>589</v>
      </c>
      <c r="D381" s="100">
        <v>17</v>
      </c>
      <c r="E381" s="100" t="s">
        <v>806</v>
      </c>
      <c r="F381" s="101">
        <v>19.899999999999999</v>
      </c>
      <c r="G381" s="101">
        <v>33830</v>
      </c>
      <c r="H381" s="100" t="s">
        <v>807</v>
      </c>
      <c r="I381" s="101">
        <v>9.6</v>
      </c>
      <c r="J381" s="101">
        <v>16331.39</v>
      </c>
      <c r="K381" s="100" t="s">
        <v>399</v>
      </c>
      <c r="L381" s="100">
        <v>17487.22</v>
      </c>
      <c r="M381" s="102">
        <v>6.4299999999999996E-2</v>
      </c>
      <c r="N381" s="100"/>
      <c r="O381" s="101">
        <f t="shared" si="31"/>
        <v>17498.61</v>
      </c>
      <c r="P381" s="101">
        <f t="shared" si="32"/>
        <v>33818.609999999993</v>
      </c>
      <c r="Q381" s="101">
        <f t="shared" si="36"/>
        <v>16331.389999999998</v>
      </c>
      <c r="R381" s="101">
        <f t="shared" si="33"/>
        <v>17487.219999999994</v>
      </c>
      <c r="S381" s="101">
        <f t="shared" si="34"/>
        <v>0</v>
      </c>
      <c r="T381" s="103">
        <f t="shared" si="35"/>
        <v>0</v>
      </c>
    </row>
    <row r="382" spans="2:20" x14ac:dyDescent="0.25">
      <c r="B382" s="99">
        <v>378</v>
      </c>
      <c r="C382" s="100" t="s">
        <v>766</v>
      </c>
      <c r="D382" s="100">
        <v>79</v>
      </c>
      <c r="E382" s="100" t="s">
        <v>808</v>
      </c>
      <c r="F382" s="101">
        <v>4.45</v>
      </c>
      <c r="G382" s="101">
        <v>35155</v>
      </c>
      <c r="H382" s="100" t="s">
        <v>809</v>
      </c>
      <c r="I382" s="101">
        <v>2.1800000000000002</v>
      </c>
      <c r="J382" s="101">
        <v>17274.93</v>
      </c>
      <c r="K382" s="100" t="s">
        <v>399</v>
      </c>
      <c r="L382" s="100">
        <v>17827.14</v>
      </c>
      <c r="M382" s="102">
        <v>4.9500000000000002E-2</v>
      </c>
      <c r="N382" s="100"/>
      <c r="O382" s="101">
        <f t="shared" si="31"/>
        <v>17880.07</v>
      </c>
      <c r="P382" s="101">
        <f t="shared" si="32"/>
        <v>35102.07</v>
      </c>
      <c r="Q382" s="101">
        <f t="shared" si="36"/>
        <v>17274.93</v>
      </c>
      <c r="R382" s="101">
        <f t="shared" si="33"/>
        <v>17827.14</v>
      </c>
      <c r="S382" s="101">
        <f t="shared" si="34"/>
        <v>0</v>
      </c>
      <c r="T382" s="103">
        <f t="shared" si="35"/>
        <v>0</v>
      </c>
    </row>
    <row r="383" spans="2:20" x14ac:dyDescent="0.25">
      <c r="B383" s="99">
        <v>379</v>
      </c>
      <c r="C383" s="100" t="s">
        <v>766</v>
      </c>
      <c r="D383" s="100">
        <v>67</v>
      </c>
      <c r="E383" s="100" t="s">
        <v>810</v>
      </c>
      <c r="F383" s="101">
        <v>5.05</v>
      </c>
      <c r="G383" s="101">
        <v>33835</v>
      </c>
      <c r="H383" s="100" t="s">
        <v>809</v>
      </c>
      <c r="I383" s="101">
        <v>2.36</v>
      </c>
      <c r="J383" s="101">
        <v>15856.89</v>
      </c>
      <c r="K383" s="100" t="s">
        <v>399</v>
      </c>
      <c r="L383" s="100">
        <v>17933.22</v>
      </c>
      <c r="M383" s="102">
        <v>5.6399999999999999E-2</v>
      </c>
      <c r="N383" s="100"/>
      <c r="O383" s="101">
        <f t="shared" si="31"/>
        <v>17978.11</v>
      </c>
      <c r="P383" s="101">
        <f t="shared" si="32"/>
        <v>33790.11</v>
      </c>
      <c r="Q383" s="101">
        <f t="shared" si="36"/>
        <v>15856.89</v>
      </c>
      <c r="R383" s="101">
        <f t="shared" si="33"/>
        <v>17933.22</v>
      </c>
      <c r="S383" s="101">
        <f t="shared" si="34"/>
        <v>0</v>
      </c>
      <c r="T383" s="103">
        <f t="shared" si="35"/>
        <v>0</v>
      </c>
    </row>
    <row r="384" spans="2:20" x14ac:dyDescent="0.25">
      <c r="B384" s="99">
        <v>380</v>
      </c>
      <c r="C384" s="100" t="s">
        <v>766</v>
      </c>
      <c r="D384" s="100">
        <v>75</v>
      </c>
      <c r="E384" s="100" t="s">
        <v>811</v>
      </c>
      <c r="F384" s="101">
        <v>4.3499999999999996</v>
      </c>
      <c r="G384" s="101">
        <v>32625</v>
      </c>
      <c r="H384" s="100" t="s">
        <v>809</v>
      </c>
      <c r="I384" s="101">
        <v>1.92</v>
      </c>
      <c r="J384" s="101">
        <v>14450.25</v>
      </c>
      <c r="K384" s="100" t="s">
        <v>399</v>
      </c>
      <c r="L384" s="100">
        <v>18124.5</v>
      </c>
      <c r="M384" s="102">
        <v>5.2900000000000003E-2</v>
      </c>
      <c r="N384" s="100"/>
      <c r="O384" s="101">
        <f t="shared" si="31"/>
        <v>18174.75</v>
      </c>
      <c r="P384" s="101">
        <f t="shared" si="32"/>
        <v>32574.75</v>
      </c>
      <c r="Q384" s="101">
        <f t="shared" si="36"/>
        <v>14450.25</v>
      </c>
      <c r="R384" s="101">
        <f t="shared" si="33"/>
        <v>18124.5</v>
      </c>
      <c r="S384" s="101">
        <f t="shared" si="34"/>
        <v>0</v>
      </c>
      <c r="T384" s="103">
        <f t="shared" si="35"/>
        <v>0</v>
      </c>
    </row>
    <row r="385" spans="2:20" x14ac:dyDescent="0.25">
      <c r="B385" s="99">
        <v>381</v>
      </c>
      <c r="C385" s="100" t="s">
        <v>785</v>
      </c>
      <c r="D385" s="100">
        <v>43</v>
      </c>
      <c r="E385" s="100" t="s">
        <v>812</v>
      </c>
      <c r="F385" s="101">
        <v>7.9</v>
      </c>
      <c r="G385" s="101">
        <v>33970</v>
      </c>
      <c r="H385" s="100" t="s">
        <v>813</v>
      </c>
      <c r="I385" s="101">
        <v>3.95</v>
      </c>
      <c r="J385" s="101">
        <v>17013.810000000001</v>
      </c>
      <c r="K385" s="100" t="s">
        <v>399</v>
      </c>
      <c r="L385" s="100">
        <v>16927.38</v>
      </c>
      <c r="M385" s="102">
        <v>4.7899999999999998E-2</v>
      </c>
      <c r="N385" s="100"/>
      <c r="O385" s="101">
        <f t="shared" si="31"/>
        <v>16956.189999999999</v>
      </c>
      <c r="P385" s="101">
        <f t="shared" si="32"/>
        <v>33941.19</v>
      </c>
      <c r="Q385" s="101">
        <f t="shared" si="36"/>
        <v>17013.810000000001</v>
      </c>
      <c r="R385" s="101">
        <f t="shared" si="33"/>
        <v>16927.38</v>
      </c>
      <c r="S385" s="101">
        <f t="shared" si="34"/>
        <v>0</v>
      </c>
      <c r="T385" s="103">
        <f t="shared" si="35"/>
        <v>0</v>
      </c>
    </row>
    <row r="386" spans="2:20" x14ac:dyDescent="0.25">
      <c r="B386" s="99">
        <v>382</v>
      </c>
      <c r="C386" s="100" t="s">
        <v>814</v>
      </c>
      <c r="D386" s="100">
        <v>69</v>
      </c>
      <c r="E386" s="100" t="s">
        <v>815</v>
      </c>
      <c r="F386" s="101">
        <v>4.8</v>
      </c>
      <c r="G386" s="101">
        <v>33120</v>
      </c>
      <c r="H386" s="100" t="s">
        <v>813</v>
      </c>
      <c r="I386" s="101">
        <v>2.25</v>
      </c>
      <c r="J386" s="101">
        <v>15571.23</v>
      </c>
      <c r="K386" s="100" t="s">
        <v>399</v>
      </c>
      <c r="L386" s="100">
        <v>17502.54</v>
      </c>
      <c r="M386" s="102">
        <v>5.6099999999999997E-2</v>
      </c>
      <c r="N386" s="100"/>
      <c r="O386" s="101">
        <f t="shared" si="31"/>
        <v>17548.77</v>
      </c>
      <c r="P386" s="101">
        <f t="shared" si="32"/>
        <v>33073.769999999997</v>
      </c>
      <c r="Q386" s="101">
        <f t="shared" si="36"/>
        <v>15571.23</v>
      </c>
      <c r="R386" s="101">
        <f t="shared" si="33"/>
        <v>17502.539999999997</v>
      </c>
      <c r="S386" s="101">
        <f t="shared" si="34"/>
        <v>0</v>
      </c>
      <c r="T386" s="103">
        <f t="shared" si="35"/>
        <v>0</v>
      </c>
    </row>
    <row r="387" spans="2:20" x14ac:dyDescent="0.25">
      <c r="B387" s="99">
        <v>383</v>
      </c>
      <c r="C387" s="100" t="s">
        <v>766</v>
      </c>
      <c r="D387" s="100">
        <v>67</v>
      </c>
      <c r="E387" s="100" t="s">
        <v>816</v>
      </c>
      <c r="F387" s="101">
        <v>5.15</v>
      </c>
      <c r="G387" s="101">
        <v>34505</v>
      </c>
      <c r="H387" s="100" t="s">
        <v>817</v>
      </c>
      <c r="I387" s="101">
        <v>2.48</v>
      </c>
      <c r="J387" s="101">
        <v>16660.89</v>
      </c>
      <c r="K387" s="100" t="s">
        <v>399</v>
      </c>
      <c r="L387" s="100">
        <v>17799.22</v>
      </c>
      <c r="M387" s="102">
        <v>5.6099999999999997E-2</v>
      </c>
      <c r="N387" s="100"/>
      <c r="O387" s="101">
        <f t="shared" si="31"/>
        <v>17844.11</v>
      </c>
      <c r="P387" s="101">
        <f t="shared" si="32"/>
        <v>34460.11</v>
      </c>
      <c r="Q387" s="101">
        <f t="shared" si="36"/>
        <v>16660.89</v>
      </c>
      <c r="R387" s="101">
        <f t="shared" si="33"/>
        <v>17799.22</v>
      </c>
      <c r="S387" s="101">
        <f t="shared" si="34"/>
        <v>0</v>
      </c>
      <c r="T387" s="103">
        <f t="shared" si="35"/>
        <v>0</v>
      </c>
    </row>
    <row r="388" spans="2:20" x14ac:dyDescent="0.25">
      <c r="B388" s="99">
        <v>384</v>
      </c>
      <c r="C388" s="100" t="s">
        <v>773</v>
      </c>
      <c r="D388" s="100">
        <v>19</v>
      </c>
      <c r="E388" s="100" t="s">
        <v>818</v>
      </c>
      <c r="F388" s="101">
        <v>17.8</v>
      </c>
      <c r="G388" s="101">
        <v>33820</v>
      </c>
      <c r="H388" s="100" t="s">
        <v>817</v>
      </c>
      <c r="I388" s="101">
        <v>8.9</v>
      </c>
      <c r="J388" s="101">
        <v>16922.73</v>
      </c>
      <c r="K388" s="100" t="s">
        <v>399</v>
      </c>
      <c r="L388" s="100">
        <v>16884.54</v>
      </c>
      <c r="M388" s="102">
        <v>4.6199999999999998E-2</v>
      </c>
      <c r="N388" s="100"/>
      <c r="O388" s="101">
        <f t="shared" si="31"/>
        <v>16897.27</v>
      </c>
      <c r="P388" s="101">
        <f t="shared" si="32"/>
        <v>33807.269999999997</v>
      </c>
      <c r="Q388" s="101">
        <f t="shared" si="36"/>
        <v>16922.73</v>
      </c>
      <c r="R388" s="101">
        <f t="shared" si="33"/>
        <v>16884.539999999997</v>
      </c>
      <c r="S388" s="101">
        <f t="shared" si="34"/>
        <v>0</v>
      </c>
      <c r="T388" s="103">
        <f t="shared" si="35"/>
        <v>0</v>
      </c>
    </row>
    <row r="389" spans="2:20" x14ac:dyDescent="0.25">
      <c r="B389" s="99">
        <v>385</v>
      </c>
      <c r="C389" s="100" t="s">
        <v>589</v>
      </c>
      <c r="D389" s="100">
        <v>15</v>
      </c>
      <c r="E389" s="100" t="s">
        <v>822</v>
      </c>
      <c r="F389" s="101">
        <v>21.25</v>
      </c>
      <c r="G389" s="101">
        <v>31875</v>
      </c>
      <c r="H389" s="100" t="s">
        <v>823</v>
      </c>
      <c r="I389" s="101">
        <v>9.6999999999999993</v>
      </c>
      <c r="J389" s="101">
        <v>14560.05</v>
      </c>
      <c r="K389" s="100" t="s">
        <v>399</v>
      </c>
      <c r="L389" s="100">
        <v>17304.900000000001</v>
      </c>
      <c r="M389" s="102">
        <v>6.6400000000000001E-2</v>
      </c>
      <c r="N389" s="100"/>
      <c r="O389" s="101">
        <f t="shared" si="31"/>
        <v>17314.95</v>
      </c>
      <c r="P389" s="101">
        <f t="shared" si="32"/>
        <v>31864.95</v>
      </c>
      <c r="Q389" s="101">
        <f t="shared" si="36"/>
        <v>14560.05</v>
      </c>
      <c r="R389" s="101">
        <f t="shared" si="33"/>
        <v>17304.900000000001</v>
      </c>
      <c r="S389" s="101">
        <f t="shared" si="34"/>
        <v>0</v>
      </c>
      <c r="T389" s="103">
        <f t="shared" si="35"/>
        <v>0</v>
      </c>
    </row>
    <row r="390" spans="2:20" x14ac:dyDescent="0.25">
      <c r="B390" s="99">
        <v>386</v>
      </c>
      <c r="C390" s="100" t="s">
        <v>589</v>
      </c>
      <c r="D390" s="100">
        <v>17</v>
      </c>
      <c r="E390" s="100" t="s">
        <v>824</v>
      </c>
      <c r="F390" s="101">
        <v>19.2</v>
      </c>
      <c r="G390" s="101">
        <v>32640</v>
      </c>
      <c r="H390" s="100" t="s">
        <v>823</v>
      </c>
      <c r="I390" s="101">
        <v>8.85</v>
      </c>
      <c r="J390" s="101">
        <v>15056.39</v>
      </c>
      <c r="K390" s="100" t="s">
        <v>399</v>
      </c>
      <c r="L390" s="100">
        <v>17572.22</v>
      </c>
      <c r="M390" s="102">
        <v>6.0499999999999998E-2</v>
      </c>
      <c r="N390" s="100"/>
      <c r="O390" s="101">
        <f t="shared" ref="O390:O453" si="37">G390-J390</f>
        <v>17583.61</v>
      </c>
      <c r="P390" s="101">
        <f t="shared" ref="P390:P453" si="38">F390*D390*100 - D390*0.67</f>
        <v>32628.609999999997</v>
      </c>
      <c r="Q390" s="101">
        <f t="shared" si="36"/>
        <v>15056.389999999998</v>
      </c>
      <c r="R390" s="101">
        <f t="shared" ref="R390:R453" si="39">P390-Q390</f>
        <v>17572.22</v>
      </c>
      <c r="S390" s="101">
        <f t="shared" ref="S390:S453" si="40">L390-R390</f>
        <v>0</v>
      </c>
      <c r="T390" s="103">
        <f t="shared" ref="T390:T453" si="41">S390/D390</f>
        <v>0</v>
      </c>
    </row>
    <row r="391" spans="2:20" x14ac:dyDescent="0.25">
      <c r="B391" s="99">
        <v>387</v>
      </c>
      <c r="C391" s="100" t="s">
        <v>635</v>
      </c>
      <c r="D391" s="100">
        <v>15</v>
      </c>
      <c r="E391" s="100" t="s">
        <v>825</v>
      </c>
      <c r="F391" s="101">
        <v>27.6</v>
      </c>
      <c r="G391" s="101">
        <v>41400</v>
      </c>
      <c r="H391" s="100" t="s">
        <v>826</v>
      </c>
      <c r="I391" s="101">
        <v>1.1499999999999999</v>
      </c>
      <c r="J391" s="101">
        <v>1735.05</v>
      </c>
      <c r="K391" s="100" t="s">
        <v>399</v>
      </c>
      <c r="L391" s="100">
        <v>39654.9</v>
      </c>
      <c r="M391" s="102">
        <v>0.2462</v>
      </c>
      <c r="N391" s="100"/>
      <c r="O391" s="101">
        <f t="shared" si="37"/>
        <v>39664.949999999997</v>
      </c>
      <c r="P391" s="101">
        <f t="shared" si="38"/>
        <v>41389.949999999997</v>
      </c>
      <c r="Q391" s="101">
        <f t="shared" si="36"/>
        <v>1735.05</v>
      </c>
      <c r="R391" s="101">
        <f t="shared" si="39"/>
        <v>39654.899999999994</v>
      </c>
      <c r="S391" s="101">
        <f t="shared" si="40"/>
        <v>0</v>
      </c>
      <c r="T391" s="103">
        <f t="shared" si="41"/>
        <v>0</v>
      </c>
    </row>
    <row r="392" spans="2:20" x14ac:dyDescent="0.25">
      <c r="B392" s="99">
        <v>388</v>
      </c>
      <c r="C392" s="100" t="s">
        <v>814</v>
      </c>
      <c r="D392" s="100">
        <v>55</v>
      </c>
      <c r="E392" s="100" t="s">
        <v>793</v>
      </c>
      <c r="F392" s="101">
        <v>6.2</v>
      </c>
      <c r="G392" s="101">
        <v>34100</v>
      </c>
      <c r="H392" s="100" t="s">
        <v>827</v>
      </c>
      <c r="I392" s="101">
        <v>3</v>
      </c>
      <c r="J392" s="101">
        <v>16536.849999999999</v>
      </c>
      <c r="K392" s="100" t="s">
        <v>399</v>
      </c>
      <c r="L392" s="100">
        <v>17526.3</v>
      </c>
      <c r="M392" s="102">
        <v>6.5299999999999997E-2</v>
      </c>
      <c r="N392" s="100"/>
      <c r="O392" s="101">
        <f t="shared" si="37"/>
        <v>17563.150000000001</v>
      </c>
      <c r="P392" s="101">
        <f t="shared" si="38"/>
        <v>34063.15</v>
      </c>
      <c r="Q392" s="101">
        <f t="shared" si="36"/>
        <v>16536.849999999999</v>
      </c>
      <c r="R392" s="101">
        <f t="shared" si="39"/>
        <v>17526.300000000003</v>
      </c>
      <c r="S392" s="101">
        <f t="shared" si="40"/>
        <v>0</v>
      </c>
      <c r="T392" s="103">
        <f t="shared" si="41"/>
        <v>0</v>
      </c>
    </row>
    <row r="393" spans="2:20" x14ac:dyDescent="0.25">
      <c r="B393" s="99">
        <v>389</v>
      </c>
      <c r="C393" s="100" t="s">
        <v>814</v>
      </c>
      <c r="D393" s="100">
        <v>73</v>
      </c>
      <c r="E393" s="100" t="s">
        <v>828</v>
      </c>
      <c r="F393" s="101">
        <v>4.7</v>
      </c>
      <c r="G393" s="101">
        <v>34310</v>
      </c>
      <c r="H393" s="100" t="s">
        <v>827</v>
      </c>
      <c r="I393" s="101">
        <v>2.35</v>
      </c>
      <c r="J393" s="101">
        <v>17203.91</v>
      </c>
      <c r="K393" s="100" t="s">
        <v>399</v>
      </c>
      <c r="L393" s="100">
        <v>17057.18</v>
      </c>
      <c r="M393" s="102">
        <v>4.65E-2</v>
      </c>
      <c r="N393" s="100"/>
      <c r="O393" s="101">
        <f t="shared" si="37"/>
        <v>17106.09</v>
      </c>
      <c r="P393" s="101">
        <f t="shared" si="38"/>
        <v>34261.089999999997</v>
      </c>
      <c r="Q393" s="101">
        <f t="shared" si="36"/>
        <v>17203.91</v>
      </c>
      <c r="R393" s="101">
        <f t="shared" si="39"/>
        <v>17057.179999999997</v>
      </c>
      <c r="S393" s="101">
        <f t="shared" si="40"/>
        <v>0</v>
      </c>
      <c r="T393" s="103">
        <f t="shared" si="41"/>
        <v>0</v>
      </c>
    </row>
    <row r="394" spans="2:20" x14ac:dyDescent="0.25">
      <c r="B394" s="99">
        <v>390</v>
      </c>
      <c r="C394" s="100" t="s">
        <v>814</v>
      </c>
      <c r="D394" s="100">
        <v>83</v>
      </c>
      <c r="E394" s="100" t="s">
        <v>795</v>
      </c>
      <c r="F394" s="101">
        <v>4.2</v>
      </c>
      <c r="G394" s="101">
        <v>34860</v>
      </c>
      <c r="H394" s="100" t="s">
        <v>827</v>
      </c>
      <c r="I394" s="101">
        <v>2.1</v>
      </c>
      <c r="J394" s="101">
        <v>17485.61</v>
      </c>
      <c r="K394" s="100" t="s">
        <v>399</v>
      </c>
      <c r="L394" s="100">
        <v>17318.78</v>
      </c>
      <c r="M394" s="102">
        <v>4.5600000000000002E-2</v>
      </c>
      <c r="N394" s="100"/>
      <c r="O394" s="101">
        <f t="shared" si="37"/>
        <v>17374.39</v>
      </c>
      <c r="P394" s="101">
        <f t="shared" si="38"/>
        <v>34804.39</v>
      </c>
      <c r="Q394" s="101">
        <f t="shared" si="36"/>
        <v>17485.61</v>
      </c>
      <c r="R394" s="101">
        <f t="shared" si="39"/>
        <v>17318.78</v>
      </c>
      <c r="S394" s="101">
        <f t="shared" si="40"/>
        <v>0</v>
      </c>
      <c r="T394" s="103">
        <f t="shared" si="41"/>
        <v>0</v>
      </c>
    </row>
    <row r="395" spans="2:20" x14ac:dyDescent="0.25">
      <c r="B395" s="99">
        <v>391</v>
      </c>
      <c r="C395" s="100" t="s">
        <v>589</v>
      </c>
      <c r="D395" s="100">
        <v>16</v>
      </c>
      <c r="E395" s="100" t="s">
        <v>829</v>
      </c>
      <c r="F395" s="101">
        <v>20</v>
      </c>
      <c r="G395" s="101">
        <v>32000</v>
      </c>
      <c r="H395" s="100" t="s">
        <v>830</v>
      </c>
      <c r="I395" s="101">
        <v>8.5500000000000007</v>
      </c>
      <c r="J395" s="101">
        <v>13690.72</v>
      </c>
      <c r="K395" s="100" t="s">
        <v>399</v>
      </c>
      <c r="L395" s="100">
        <v>18298.560000000001</v>
      </c>
      <c r="M395" s="102">
        <v>6.3500000000000001E-2</v>
      </c>
      <c r="N395" s="100"/>
      <c r="O395" s="101">
        <f t="shared" si="37"/>
        <v>18309.28</v>
      </c>
      <c r="P395" s="101">
        <f t="shared" si="38"/>
        <v>31989.279999999999</v>
      </c>
      <c r="Q395" s="101">
        <f t="shared" si="36"/>
        <v>13690.720000000001</v>
      </c>
      <c r="R395" s="101">
        <f t="shared" si="39"/>
        <v>18298.559999999998</v>
      </c>
      <c r="S395" s="101">
        <f t="shared" si="40"/>
        <v>0</v>
      </c>
      <c r="T395" s="103">
        <f t="shared" si="41"/>
        <v>0</v>
      </c>
    </row>
    <row r="396" spans="2:20" x14ac:dyDescent="0.25">
      <c r="B396" s="99">
        <v>392</v>
      </c>
      <c r="C396" s="100" t="s">
        <v>766</v>
      </c>
      <c r="D396" s="100">
        <v>61</v>
      </c>
      <c r="E396" s="100" t="s">
        <v>846</v>
      </c>
      <c r="F396" s="101">
        <v>5.25</v>
      </c>
      <c r="G396" s="101">
        <v>32025</v>
      </c>
      <c r="H396" s="100" t="s">
        <v>847</v>
      </c>
      <c r="I396" s="101">
        <v>2.29</v>
      </c>
      <c r="J396" s="101">
        <v>14009.87</v>
      </c>
      <c r="K396" s="100" t="s">
        <v>399</v>
      </c>
      <c r="L396" s="100">
        <v>17974.259999999998</v>
      </c>
      <c r="M396" s="102">
        <v>5.9200000000000003E-2</v>
      </c>
      <c r="N396" s="100"/>
      <c r="O396" s="101">
        <f t="shared" si="37"/>
        <v>18015.129999999997</v>
      </c>
      <c r="P396" s="101">
        <f t="shared" si="38"/>
        <v>31984.13</v>
      </c>
      <c r="Q396" s="101">
        <f t="shared" si="36"/>
        <v>14009.87</v>
      </c>
      <c r="R396" s="101">
        <f t="shared" si="39"/>
        <v>17974.260000000002</v>
      </c>
      <c r="S396" s="101">
        <f t="shared" si="40"/>
        <v>0</v>
      </c>
      <c r="T396" s="103">
        <f t="shared" si="41"/>
        <v>0</v>
      </c>
    </row>
    <row r="397" spans="2:20" x14ac:dyDescent="0.25">
      <c r="B397" s="99">
        <v>393</v>
      </c>
      <c r="C397" s="100" t="s">
        <v>669</v>
      </c>
      <c r="D397" s="100">
        <v>30</v>
      </c>
      <c r="E397" s="100" t="s">
        <v>848</v>
      </c>
      <c r="F397" s="101">
        <v>13.1</v>
      </c>
      <c r="G397" s="101">
        <v>39300</v>
      </c>
      <c r="H397" s="100" t="s">
        <v>849</v>
      </c>
      <c r="I397" s="101">
        <v>6.4</v>
      </c>
      <c r="J397" s="101">
        <v>19220.099999999999</v>
      </c>
      <c r="K397" s="100" t="s">
        <v>399</v>
      </c>
      <c r="L397" s="100">
        <v>20059.8</v>
      </c>
      <c r="M397" s="102">
        <v>5.4899999999999997E-2</v>
      </c>
      <c r="N397" s="100"/>
      <c r="O397" s="101">
        <f t="shared" si="37"/>
        <v>20079.900000000001</v>
      </c>
      <c r="P397" s="101">
        <f t="shared" si="38"/>
        <v>39279.9</v>
      </c>
      <c r="Q397" s="101">
        <f t="shared" si="36"/>
        <v>19220.099999999999</v>
      </c>
      <c r="R397" s="101">
        <f t="shared" si="39"/>
        <v>20059.800000000003</v>
      </c>
      <c r="S397" s="101">
        <f t="shared" si="40"/>
        <v>0</v>
      </c>
      <c r="T397" s="103">
        <f t="shared" si="41"/>
        <v>0</v>
      </c>
    </row>
    <row r="398" spans="2:20" x14ac:dyDescent="0.25">
      <c r="B398" s="99">
        <v>394</v>
      </c>
      <c r="C398" s="100" t="s">
        <v>529</v>
      </c>
      <c r="D398" s="100">
        <v>55</v>
      </c>
      <c r="E398" s="100" t="s">
        <v>826</v>
      </c>
      <c r="F398" s="101">
        <v>7.55</v>
      </c>
      <c r="G398" s="101">
        <v>41525</v>
      </c>
      <c r="H398" s="100" t="s">
        <v>849</v>
      </c>
      <c r="I398" s="101">
        <v>3.35</v>
      </c>
      <c r="J398" s="101">
        <v>18461.849999999999</v>
      </c>
      <c r="K398" s="100" t="s">
        <v>399</v>
      </c>
      <c r="L398" s="100">
        <v>23026.3</v>
      </c>
      <c r="M398" s="102">
        <v>5.4100000000000002E-2</v>
      </c>
      <c r="N398" s="100"/>
      <c r="O398" s="101">
        <f t="shared" si="37"/>
        <v>23063.15</v>
      </c>
      <c r="P398" s="101">
        <f t="shared" si="38"/>
        <v>41488.15</v>
      </c>
      <c r="Q398" s="101">
        <f t="shared" si="36"/>
        <v>18461.849999999999</v>
      </c>
      <c r="R398" s="101">
        <f t="shared" si="39"/>
        <v>23026.300000000003</v>
      </c>
      <c r="S398" s="101">
        <f t="shared" si="40"/>
        <v>0</v>
      </c>
      <c r="T398" s="103">
        <f t="shared" si="41"/>
        <v>0</v>
      </c>
    </row>
    <row r="399" spans="2:20" x14ac:dyDescent="0.25">
      <c r="B399" s="99">
        <v>395</v>
      </c>
      <c r="C399" s="100" t="s">
        <v>529</v>
      </c>
      <c r="D399" s="100">
        <v>48</v>
      </c>
      <c r="E399" s="100" t="s">
        <v>850</v>
      </c>
      <c r="F399" s="101">
        <v>8.6</v>
      </c>
      <c r="G399" s="101">
        <v>41280</v>
      </c>
      <c r="H399" s="100" t="s">
        <v>849</v>
      </c>
      <c r="I399" s="101">
        <v>4.0999999999999996</v>
      </c>
      <c r="J399" s="101">
        <v>19712.16</v>
      </c>
      <c r="K399" s="100" t="s">
        <v>399</v>
      </c>
      <c r="L399" s="100">
        <v>21535.68</v>
      </c>
      <c r="M399" s="102">
        <v>5.5100000000000003E-2</v>
      </c>
      <c r="N399" s="100"/>
      <c r="O399" s="101">
        <f t="shared" si="37"/>
        <v>21567.84</v>
      </c>
      <c r="P399" s="101">
        <f t="shared" si="38"/>
        <v>41247.839999999989</v>
      </c>
      <c r="Q399" s="101">
        <f t="shared" si="36"/>
        <v>19712.16</v>
      </c>
      <c r="R399" s="101">
        <f t="shared" si="39"/>
        <v>21535.679999999989</v>
      </c>
      <c r="S399" s="101">
        <f t="shared" si="40"/>
        <v>0</v>
      </c>
      <c r="T399" s="103">
        <f t="shared" si="41"/>
        <v>0</v>
      </c>
    </row>
    <row r="400" spans="2:20" x14ac:dyDescent="0.25">
      <c r="B400" s="99">
        <v>396</v>
      </c>
      <c r="C400" s="100" t="s">
        <v>669</v>
      </c>
      <c r="D400" s="100">
        <v>36</v>
      </c>
      <c r="E400" s="100" t="s">
        <v>851</v>
      </c>
      <c r="F400" s="101">
        <v>11.35</v>
      </c>
      <c r="G400" s="101">
        <v>40860</v>
      </c>
      <c r="H400" s="100" t="s">
        <v>849</v>
      </c>
      <c r="I400" s="101">
        <v>5.5</v>
      </c>
      <c r="J400" s="101">
        <v>19824.12</v>
      </c>
      <c r="K400" s="100" t="s">
        <v>399</v>
      </c>
      <c r="L400" s="100">
        <v>21011.759999999998</v>
      </c>
      <c r="M400" s="102">
        <v>4.9200000000000001E-2</v>
      </c>
      <c r="N400" s="100"/>
      <c r="O400" s="101">
        <f t="shared" si="37"/>
        <v>21035.88</v>
      </c>
      <c r="P400" s="101">
        <f t="shared" si="38"/>
        <v>40835.879999999997</v>
      </c>
      <c r="Q400" s="101">
        <f t="shared" si="36"/>
        <v>19824.12</v>
      </c>
      <c r="R400" s="101">
        <f t="shared" si="39"/>
        <v>21011.759999999998</v>
      </c>
      <c r="S400" s="101">
        <f t="shared" si="40"/>
        <v>0</v>
      </c>
      <c r="T400" s="103">
        <f t="shared" si="41"/>
        <v>0</v>
      </c>
    </row>
    <row r="401" spans="2:20" x14ac:dyDescent="0.25">
      <c r="B401" s="99">
        <v>397</v>
      </c>
      <c r="C401" s="100" t="s">
        <v>669</v>
      </c>
      <c r="D401" s="100">
        <v>39</v>
      </c>
      <c r="E401" s="100" t="s">
        <v>852</v>
      </c>
      <c r="F401" s="101">
        <v>10.3</v>
      </c>
      <c r="G401" s="101">
        <v>40170</v>
      </c>
      <c r="H401" s="100" t="s">
        <v>849</v>
      </c>
      <c r="I401" s="101">
        <v>4.7</v>
      </c>
      <c r="J401" s="101">
        <v>18356.13</v>
      </c>
      <c r="K401" s="100" t="s">
        <v>399</v>
      </c>
      <c r="L401" s="100">
        <v>21787.74</v>
      </c>
      <c r="M401" s="102">
        <v>5.0900000000000001E-2</v>
      </c>
      <c r="N401" s="100"/>
      <c r="O401" s="101">
        <f t="shared" si="37"/>
        <v>21813.87</v>
      </c>
      <c r="P401" s="101">
        <f t="shared" si="38"/>
        <v>40143.87000000001</v>
      </c>
      <c r="Q401" s="101">
        <f t="shared" si="36"/>
        <v>18356.13</v>
      </c>
      <c r="R401" s="101">
        <f t="shared" si="39"/>
        <v>21787.740000000009</v>
      </c>
      <c r="S401" s="101">
        <f t="shared" si="40"/>
        <v>0</v>
      </c>
      <c r="T401" s="103">
        <f t="shared" si="41"/>
        <v>0</v>
      </c>
    </row>
    <row r="402" spans="2:20" x14ac:dyDescent="0.25">
      <c r="B402" s="99">
        <v>398</v>
      </c>
      <c r="C402" s="100" t="s">
        <v>814</v>
      </c>
      <c r="D402" s="100">
        <v>76</v>
      </c>
      <c r="E402" s="100" t="s">
        <v>853</v>
      </c>
      <c r="F402" s="101">
        <v>4.5999999999999996</v>
      </c>
      <c r="G402" s="101">
        <v>34960</v>
      </c>
      <c r="H402" s="100" t="s">
        <v>854</v>
      </c>
      <c r="I402" s="101">
        <v>2.15</v>
      </c>
      <c r="J402" s="101">
        <v>16390.919999999998</v>
      </c>
      <c r="K402" s="100" t="s">
        <v>399</v>
      </c>
      <c r="L402" s="100">
        <v>18518.16</v>
      </c>
      <c r="M402" s="102">
        <v>5.3699999999999998E-2</v>
      </c>
      <c r="N402" s="100"/>
      <c r="O402" s="101">
        <f t="shared" si="37"/>
        <v>18569.080000000002</v>
      </c>
      <c r="P402" s="101">
        <f t="shared" si="38"/>
        <v>34909.08</v>
      </c>
      <c r="Q402" s="101">
        <f t="shared" si="36"/>
        <v>16390.919999999998</v>
      </c>
      <c r="R402" s="101">
        <f t="shared" si="39"/>
        <v>18518.160000000003</v>
      </c>
      <c r="S402" s="101">
        <f t="shared" si="40"/>
        <v>0</v>
      </c>
      <c r="T402" s="103">
        <f t="shared" si="41"/>
        <v>0</v>
      </c>
    </row>
    <row r="403" spans="2:20" x14ac:dyDescent="0.25">
      <c r="B403" s="99">
        <v>399</v>
      </c>
      <c r="C403" s="100" t="s">
        <v>855</v>
      </c>
      <c r="D403" s="100">
        <v>15</v>
      </c>
      <c r="E403" s="100" t="s">
        <v>803</v>
      </c>
      <c r="F403" s="101">
        <v>23.8</v>
      </c>
      <c r="G403" s="101">
        <v>35700</v>
      </c>
      <c r="H403" s="100" t="s">
        <v>854</v>
      </c>
      <c r="I403" s="101">
        <v>11.9</v>
      </c>
      <c r="J403" s="101">
        <v>17860.05</v>
      </c>
      <c r="K403" s="100" t="s">
        <v>399</v>
      </c>
      <c r="L403" s="100">
        <v>17829.900000000001</v>
      </c>
      <c r="M403" s="102">
        <v>4.8300000000000003E-2</v>
      </c>
      <c r="N403" s="100"/>
      <c r="O403" s="101">
        <f t="shared" si="37"/>
        <v>17839.95</v>
      </c>
      <c r="P403" s="101">
        <f t="shared" si="38"/>
        <v>35689.949999999997</v>
      </c>
      <c r="Q403" s="101">
        <f t="shared" si="36"/>
        <v>17860.05</v>
      </c>
      <c r="R403" s="101">
        <f t="shared" si="39"/>
        <v>17829.899999999998</v>
      </c>
      <c r="S403" s="101">
        <f t="shared" si="40"/>
        <v>0</v>
      </c>
      <c r="T403" s="103">
        <f t="shared" si="41"/>
        <v>0</v>
      </c>
    </row>
    <row r="404" spans="2:20" x14ac:dyDescent="0.25">
      <c r="B404" s="99">
        <v>400</v>
      </c>
      <c r="C404" s="100" t="s">
        <v>669</v>
      </c>
      <c r="D404" s="100">
        <v>30</v>
      </c>
      <c r="E404" s="100" t="s">
        <v>856</v>
      </c>
      <c r="F404" s="101">
        <v>12.6</v>
      </c>
      <c r="G404" s="101">
        <v>37800</v>
      </c>
      <c r="H404" s="100" t="s">
        <v>854</v>
      </c>
      <c r="I404" s="101">
        <v>6.15</v>
      </c>
      <c r="J404" s="101">
        <v>18470.099999999999</v>
      </c>
      <c r="K404" s="100" t="s">
        <v>399</v>
      </c>
      <c r="L404" s="100">
        <v>19309.8</v>
      </c>
      <c r="M404" s="102">
        <v>5.4800000000000001E-2</v>
      </c>
      <c r="N404" s="100"/>
      <c r="O404" s="101">
        <f t="shared" si="37"/>
        <v>19329.900000000001</v>
      </c>
      <c r="P404" s="101">
        <f t="shared" si="38"/>
        <v>37779.9</v>
      </c>
      <c r="Q404" s="101">
        <f t="shared" si="36"/>
        <v>18470.099999999999</v>
      </c>
      <c r="R404" s="101">
        <f t="shared" si="39"/>
        <v>19309.800000000003</v>
      </c>
      <c r="S404" s="101">
        <f t="shared" si="40"/>
        <v>0</v>
      </c>
      <c r="T404" s="103">
        <f t="shared" si="41"/>
        <v>0</v>
      </c>
    </row>
    <row r="405" spans="2:20" x14ac:dyDescent="0.25">
      <c r="B405" s="99">
        <v>401</v>
      </c>
      <c r="C405" s="100" t="s">
        <v>669</v>
      </c>
      <c r="D405" s="100">
        <v>39</v>
      </c>
      <c r="E405" s="100" t="s">
        <v>823</v>
      </c>
      <c r="F405" s="101">
        <v>10.5</v>
      </c>
      <c r="G405" s="101">
        <v>40950</v>
      </c>
      <c r="H405" s="100" t="s">
        <v>854</v>
      </c>
      <c r="I405" s="101">
        <v>5.25</v>
      </c>
      <c r="J405" s="101">
        <v>20501.13</v>
      </c>
      <c r="K405" s="100" t="s">
        <v>399</v>
      </c>
      <c r="L405" s="100">
        <v>20422.740000000002</v>
      </c>
      <c r="M405" s="102">
        <v>4.5699999999999998E-2</v>
      </c>
      <c r="N405" s="100"/>
      <c r="O405" s="101">
        <f t="shared" si="37"/>
        <v>20448.87</v>
      </c>
      <c r="P405" s="101">
        <f t="shared" si="38"/>
        <v>40923.870000000003</v>
      </c>
      <c r="Q405" s="101">
        <f t="shared" si="36"/>
        <v>20501.13</v>
      </c>
      <c r="R405" s="101">
        <f t="shared" si="39"/>
        <v>20422.740000000002</v>
      </c>
      <c r="S405" s="101">
        <f t="shared" si="40"/>
        <v>0</v>
      </c>
      <c r="T405" s="103">
        <f t="shared" si="41"/>
        <v>0</v>
      </c>
    </row>
    <row r="406" spans="2:20" x14ac:dyDescent="0.25">
      <c r="B406" s="99">
        <v>402</v>
      </c>
      <c r="C406" s="100" t="s">
        <v>407</v>
      </c>
      <c r="D406" s="100">
        <v>19</v>
      </c>
      <c r="E406" s="100" t="s">
        <v>857</v>
      </c>
      <c r="F406" s="101">
        <v>19.5</v>
      </c>
      <c r="G406" s="101">
        <v>37050</v>
      </c>
      <c r="H406" s="100" t="s">
        <v>854</v>
      </c>
      <c r="I406" s="101">
        <v>9.6999999999999993</v>
      </c>
      <c r="J406" s="101">
        <v>18442.73</v>
      </c>
      <c r="K406" s="100" t="s">
        <v>399</v>
      </c>
      <c r="L406" s="100">
        <v>18594.54</v>
      </c>
      <c r="M406" s="102">
        <v>5.1400000000000001E-2</v>
      </c>
      <c r="N406" s="100"/>
      <c r="O406" s="101">
        <f t="shared" si="37"/>
        <v>18607.27</v>
      </c>
      <c r="P406" s="101">
        <f t="shared" si="38"/>
        <v>37037.269999999997</v>
      </c>
      <c r="Q406" s="101">
        <f t="shared" si="36"/>
        <v>18442.73</v>
      </c>
      <c r="R406" s="101">
        <f t="shared" si="39"/>
        <v>18594.539999999997</v>
      </c>
      <c r="S406" s="101">
        <f t="shared" si="40"/>
        <v>0</v>
      </c>
      <c r="T406" s="103">
        <f t="shared" si="41"/>
        <v>0</v>
      </c>
    </row>
    <row r="407" spans="2:20" x14ac:dyDescent="0.25">
      <c r="B407" s="99">
        <v>403</v>
      </c>
      <c r="C407" s="100" t="s">
        <v>669</v>
      </c>
      <c r="D407" s="100">
        <v>30</v>
      </c>
      <c r="E407" s="100" t="s">
        <v>820</v>
      </c>
      <c r="F407" s="101">
        <v>13.35</v>
      </c>
      <c r="G407" s="101">
        <v>40050</v>
      </c>
      <c r="H407" s="100" t="s">
        <v>858</v>
      </c>
      <c r="I407" s="101">
        <v>6.45</v>
      </c>
      <c r="J407" s="101">
        <v>19370.099999999999</v>
      </c>
      <c r="K407" s="100" t="s">
        <v>399</v>
      </c>
      <c r="L407" s="100">
        <v>20659.8</v>
      </c>
      <c r="M407" s="102">
        <v>5.6599999999999998E-2</v>
      </c>
      <c r="N407" s="100"/>
      <c r="O407" s="101">
        <f t="shared" si="37"/>
        <v>20679.900000000001</v>
      </c>
      <c r="P407" s="101">
        <f t="shared" si="38"/>
        <v>40029.9</v>
      </c>
      <c r="Q407" s="101">
        <f t="shared" si="36"/>
        <v>19370.099999999999</v>
      </c>
      <c r="R407" s="101">
        <f t="shared" si="39"/>
        <v>20659.800000000003</v>
      </c>
      <c r="S407" s="101">
        <f t="shared" si="40"/>
        <v>0</v>
      </c>
      <c r="T407" s="103">
        <f t="shared" si="41"/>
        <v>0</v>
      </c>
    </row>
    <row r="408" spans="2:20" x14ac:dyDescent="0.25">
      <c r="B408" s="99">
        <v>404</v>
      </c>
      <c r="C408" s="100" t="s">
        <v>766</v>
      </c>
      <c r="D408" s="100">
        <v>63</v>
      </c>
      <c r="E408" s="100" t="s">
        <v>801</v>
      </c>
      <c r="F408" s="101">
        <v>5.25</v>
      </c>
      <c r="G408" s="101">
        <v>33075</v>
      </c>
      <c r="H408" s="100" t="s">
        <v>859</v>
      </c>
      <c r="I408" s="101">
        <v>2.61</v>
      </c>
      <c r="J408" s="101">
        <v>16485.21</v>
      </c>
      <c r="K408" s="100" t="s">
        <v>399</v>
      </c>
      <c r="L408" s="100">
        <v>16547.580000000002</v>
      </c>
      <c r="M408" s="102">
        <v>5.28E-2</v>
      </c>
      <c r="N408" s="100"/>
      <c r="O408" s="101">
        <f t="shared" si="37"/>
        <v>16589.79</v>
      </c>
      <c r="P408" s="101">
        <f t="shared" si="38"/>
        <v>33032.79</v>
      </c>
      <c r="Q408" s="101">
        <f t="shared" si="36"/>
        <v>16485.209999999995</v>
      </c>
      <c r="R408" s="101">
        <f t="shared" si="39"/>
        <v>16547.580000000005</v>
      </c>
      <c r="S408" s="101">
        <f t="shared" si="40"/>
        <v>0</v>
      </c>
      <c r="T408" s="103">
        <f t="shared" si="41"/>
        <v>0</v>
      </c>
    </row>
    <row r="409" spans="2:20" x14ac:dyDescent="0.25">
      <c r="B409" s="99">
        <v>405</v>
      </c>
      <c r="C409" s="100" t="s">
        <v>407</v>
      </c>
      <c r="D409" s="100">
        <v>19</v>
      </c>
      <c r="E409" s="100" t="s">
        <v>863</v>
      </c>
      <c r="F409" s="101">
        <v>20.350000000000001</v>
      </c>
      <c r="G409" s="101">
        <v>38665</v>
      </c>
      <c r="H409" s="100" t="s">
        <v>862</v>
      </c>
      <c r="I409" s="101">
        <v>7.5</v>
      </c>
      <c r="J409" s="101">
        <v>14262.73</v>
      </c>
      <c r="K409" s="100" t="s">
        <v>399</v>
      </c>
      <c r="L409" s="100">
        <v>24389.54</v>
      </c>
      <c r="M409" s="102">
        <v>6.4299999999999996E-2</v>
      </c>
      <c r="N409" s="100"/>
      <c r="O409" s="101">
        <f t="shared" si="37"/>
        <v>24402.27</v>
      </c>
      <c r="P409" s="101">
        <f t="shared" si="38"/>
        <v>38652.269999999997</v>
      </c>
      <c r="Q409" s="101">
        <f t="shared" ref="Q409:Q472" si="42">I409*D409*100 + D409*0.67</f>
        <v>14262.73</v>
      </c>
      <c r="R409" s="101">
        <f t="shared" si="39"/>
        <v>24389.539999999997</v>
      </c>
      <c r="S409" s="101">
        <f t="shared" si="40"/>
        <v>0</v>
      </c>
      <c r="T409" s="103">
        <f t="shared" si="41"/>
        <v>0</v>
      </c>
    </row>
    <row r="410" spans="2:20" x14ac:dyDescent="0.25">
      <c r="B410" s="99">
        <v>406</v>
      </c>
      <c r="C410" s="100" t="s">
        <v>814</v>
      </c>
      <c r="D410" s="100">
        <v>61</v>
      </c>
      <c r="E410" s="100" t="s">
        <v>864</v>
      </c>
      <c r="F410" s="101">
        <v>5.6</v>
      </c>
      <c r="G410" s="101">
        <v>34160</v>
      </c>
      <c r="H410" s="100" t="s">
        <v>865</v>
      </c>
      <c r="I410" s="101">
        <v>2.27</v>
      </c>
      <c r="J410" s="101">
        <v>13887.87</v>
      </c>
      <c r="K410" s="100" t="s">
        <v>399</v>
      </c>
      <c r="L410" s="100">
        <v>20231.259999999998</v>
      </c>
      <c r="M410" s="102">
        <v>6.7100000000000007E-2</v>
      </c>
      <c r="N410" s="100"/>
      <c r="O410" s="101">
        <f t="shared" si="37"/>
        <v>20272.129999999997</v>
      </c>
      <c r="P410" s="101">
        <f t="shared" si="38"/>
        <v>34119.129999999997</v>
      </c>
      <c r="Q410" s="101">
        <f t="shared" si="42"/>
        <v>13887.87</v>
      </c>
      <c r="R410" s="101">
        <f t="shared" si="39"/>
        <v>20231.259999999995</v>
      </c>
      <c r="S410" s="101">
        <f t="shared" si="40"/>
        <v>0</v>
      </c>
      <c r="T410" s="103">
        <f t="shared" si="41"/>
        <v>0</v>
      </c>
    </row>
    <row r="411" spans="2:20" x14ac:dyDescent="0.25">
      <c r="B411" s="99">
        <v>407</v>
      </c>
      <c r="C411" s="100" t="s">
        <v>529</v>
      </c>
      <c r="D411" s="100">
        <v>43</v>
      </c>
      <c r="E411" s="100" t="s">
        <v>866</v>
      </c>
      <c r="F411" s="101">
        <v>9.0500000000000007</v>
      </c>
      <c r="G411" s="101">
        <v>38915</v>
      </c>
      <c r="H411" s="100" t="s">
        <v>865</v>
      </c>
      <c r="I411" s="101">
        <v>3.55</v>
      </c>
      <c r="J411" s="101">
        <v>15293.81</v>
      </c>
      <c r="K411" s="100" t="s">
        <v>399</v>
      </c>
      <c r="L411" s="100">
        <v>23592.38</v>
      </c>
      <c r="M411" s="102">
        <v>6.3799999999999996E-2</v>
      </c>
      <c r="N411" s="100"/>
      <c r="O411" s="101">
        <f t="shared" si="37"/>
        <v>23621.190000000002</v>
      </c>
      <c r="P411" s="101">
        <f t="shared" si="38"/>
        <v>38886.19</v>
      </c>
      <c r="Q411" s="101">
        <f t="shared" si="42"/>
        <v>15293.81</v>
      </c>
      <c r="R411" s="101">
        <f t="shared" si="39"/>
        <v>23592.380000000005</v>
      </c>
      <c r="S411" s="101">
        <f t="shared" si="40"/>
        <v>0</v>
      </c>
      <c r="T411" s="103">
        <f t="shared" si="41"/>
        <v>0</v>
      </c>
    </row>
    <row r="412" spans="2:20" x14ac:dyDescent="0.25">
      <c r="B412" s="99">
        <v>408</v>
      </c>
      <c r="C412" s="100" t="s">
        <v>669</v>
      </c>
      <c r="D412" s="100">
        <v>28</v>
      </c>
      <c r="E412" s="100" t="s">
        <v>867</v>
      </c>
      <c r="F412" s="101">
        <v>13.15</v>
      </c>
      <c r="G412" s="101">
        <v>36820</v>
      </c>
      <c r="H412" s="100" t="s">
        <v>865</v>
      </c>
      <c r="I412" s="101">
        <v>6.2</v>
      </c>
      <c r="J412" s="101">
        <v>17378.759999999998</v>
      </c>
      <c r="K412" s="100" t="s">
        <v>399</v>
      </c>
      <c r="L412" s="100">
        <v>19422.48</v>
      </c>
      <c r="M412" s="102">
        <v>5.4699999999999999E-2</v>
      </c>
      <c r="N412" s="100"/>
      <c r="O412" s="101">
        <f t="shared" si="37"/>
        <v>19441.240000000002</v>
      </c>
      <c r="P412" s="101">
        <f t="shared" si="38"/>
        <v>36801.24</v>
      </c>
      <c r="Q412" s="101">
        <f t="shared" si="42"/>
        <v>17378.759999999998</v>
      </c>
      <c r="R412" s="101">
        <f t="shared" si="39"/>
        <v>19422.48</v>
      </c>
      <c r="S412" s="101">
        <f t="shared" si="40"/>
        <v>0</v>
      </c>
      <c r="T412" s="103">
        <f t="shared" si="41"/>
        <v>0</v>
      </c>
    </row>
    <row r="413" spans="2:20" x14ac:dyDescent="0.25">
      <c r="B413" s="99">
        <v>409</v>
      </c>
      <c r="C413" s="100" t="s">
        <v>855</v>
      </c>
      <c r="D413" s="100">
        <v>12</v>
      </c>
      <c r="E413" s="100" t="s">
        <v>868</v>
      </c>
      <c r="F413" s="101">
        <v>28.9</v>
      </c>
      <c r="G413" s="101">
        <v>34680</v>
      </c>
      <c r="H413" s="100" t="s">
        <v>869</v>
      </c>
      <c r="I413" s="101">
        <v>13.7</v>
      </c>
      <c r="J413" s="101">
        <v>16448.04</v>
      </c>
      <c r="K413" s="100" t="s">
        <v>399</v>
      </c>
      <c r="L413" s="100">
        <v>18223.919999999998</v>
      </c>
      <c r="M413" s="102">
        <v>5.8200000000000002E-2</v>
      </c>
      <c r="N413" s="100"/>
      <c r="O413" s="101">
        <f t="shared" si="37"/>
        <v>18231.96</v>
      </c>
      <c r="P413" s="101">
        <f t="shared" si="38"/>
        <v>34671.959999999992</v>
      </c>
      <c r="Q413" s="101">
        <f t="shared" si="42"/>
        <v>16448.039999999997</v>
      </c>
      <c r="R413" s="101">
        <f t="shared" si="39"/>
        <v>18223.919999999995</v>
      </c>
      <c r="S413" s="101">
        <f t="shared" si="40"/>
        <v>0</v>
      </c>
      <c r="T413" s="103">
        <f t="shared" si="41"/>
        <v>0</v>
      </c>
    </row>
    <row r="414" spans="2:20" x14ac:dyDescent="0.25">
      <c r="B414" s="99">
        <v>410</v>
      </c>
      <c r="C414" s="100" t="s">
        <v>855</v>
      </c>
      <c r="D414" s="100">
        <v>13</v>
      </c>
      <c r="E414" s="100" t="s">
        <v>870</v>
      </c>
      <c r="F414" s="101">
        <v>26.4</v>
      </c>
      <c r="G414" s="101">
        <v>34320</v>
      </c>
      <c r="H414" s="100" t="s">
        <v>869</v>
      </c>
      <c r="I414" s="101">
        <v>11.3</v>
      </c>
      <c r="J414" s="101">
        <v>14698.71</v>
      </c>
      <c r="K414" s="100" t="s">
        <v>399</v>
      </c>
      <c r="L414" s="100">
        <v>19612.580000000002</v>
      </c>
      <c r="M414" s="102">
        <v>5.9499999999999997E-2</v>
      </c>
      <c r="N414" s="100"/>
      <c r="O414" s="101">
        <f t="shared" si="37"/>
        <v>19621.29</v>
      </c>
      <c r="P414" s="101">
        <f t="shared" si="38"/>
        <v>34311.29</v>
      </c>
      <c r="Q414" s="101">
        <f t="shared" si="42"/>
        <v>14698.71</v>
      </c>
      <c r="R414" s="101">
        <f t="shared" si="39"/>
        <v>19612.580000000002</v>
      </c>
      <c r="S414" s="101">
        <f t="shared" si="40"/>
        <v>0</v>
      </c>
      <c r="T414" s="103">
        <f t="shared" si="41"/>
        <v>0</v>
      </c>
    </row>
    <row r="415" spans="2:20" x14ac:dyDescent="0.25">
      <c r="B415" s="99">
        <v>411</v>
      </c>
      <c r="C415" s="100" t="s">
        <v>814</v>
      </c>
      <c r="D415" s="100">
        <v>79</v>
      </c>
      <c r="E415" s="100" t="s">
        <v>871</v>
      </c>
      <c r="F415" s="101">
        <v>5.4</v>
      </c>
      <c r="G415" s="101">
        <v>42660</v>
      </c>
      <c r="H415" s="100" t="s">
        <v>869</v>
      </c>
      <c r="I415" s="101">
        <v>2.5299999999999998</v>
      </c>
      <c r="J415" s="101">
        <v>20039.93</v>
      </c>
      <c r="K415" s="100" t="s">
        <v>399</v>
      </c>
      <c r="L415" s="100">
        <v>22567.14</v>
      </c>
      <c r="M415" s="102">
        <v>5.7599999999999998E-2</v>
      </c>
      <c r="N415" s="100"/>
      <c r="O415" s="101">
        <f t="shared" si="37"/>
        <v>22620.07</v>
      </c>
      <c r="P415" s="101">
        <f t="shared" si="38"/>
        <v>42607.07</v>
      </c>
      <c r="Q415" s="101">
        <f t="shared" si="42"/>
        <v>20039.929999999997</v>
      </c>
      <c r="R415" s="101">
        <f t="shared" si="39"/>
        <v>22567.140000000003</v>
      </c>
      <c r="S415" s="101">
        <f t="shared" si="40"/>
        <v>0</v>
      </c>
      <c r="T415" s="103">
        <f t="shared" si="41"/>
        <v>0</v>
      </c>
    </row>
    <row r="416" spans="2:20" x14ac:dyDescent="0.25">
      <c r="B416" s="99">
        <v>412</v>
      </c>
      <c r="C416" s="100" t="s">
        <v>855</v>
      </c>
      <c r="D416" s="100">
        <v>15</v>
      </c>
      <c r="E416" s="100" t="s">
        <v>817</v>
      </c>
      <c r="F416" s="101">
        <v>25.6</v>
      </c>
      <c r="G416" s="101">
        <v>38400</v>
      </c>
      <c r="H416" s="100" t="s">
        <v>872</v>
      </c>
      <c r="I416" s="101">
        <v>11.3</v>
      </c>
      <c r="J416" s="101">
        <v>16960.05</v>
      </c>
      <c r="K416" s="100" t="s">
        <v>399</v>
      </c>
      <c r="L416" s="100">
        <v>21429.9</v>
      </c>
      <c r="M416" s="102">
        <v>5.21E-2</v>
      </c>
      <c r="N416" s="100"/>
      <c r="O416" s="101">
        <f t="shared" si="37"/>
        <v>21439.95</v>
      </c>
      <c r="P416" s="101">
        <f t="shared" si="38"/>
        <v>38389.949999999997</v>
      </c>
      <c r="Q416" s="101">
        <f t="shared" si="42"/>
        <v>16960.05</v>
      </c>
      <c r="R416" s="101">
        <f t="shared" si="39"/>
        <v>21429.899999999998</v>
      </c>
      <c r="S416" s="101">
        <f t="shared" si="40"/>
        <v>0</v>
      </c>
      <c r="T416" s="103">
        <f t="shared" si="41"/>
        <v>0</v>
      </c>
    </row>
    <row r="417" spans="2:20" x14ac:dyDescent="0.25">
      <c r="B417" s="99">
        <v>413</v>
      </c>
      <c r="C417" s="100" t="s">
        <v>524</v>
      </c>
      <c r="D417" s="100">
        <v>84</v>
      </c>
      <c r="E417" s="100" t="s">
        <v>880</v>
      </c>
      <c r="F417" s="101">
        <v>5.0999999999999996</v>
      </c>
      <c r="G417" s="101">
        <v>42840</v>
      </c>
      <c r="H417" s="100" t="s">
        <v>881</v>
      </c>
      <c r="I417" s="101">
        <v>2.5499999999999998</v>
      </c>
      <c r="J417" s="101">
        <v>21476.28</v>
      </c>
      <c r="K417" s="100" t="s">
        <v>399</v>
      </c>
      <c r="L417" s="100">
        <v>21307.439999999999</v>
      </c>
      <c r="M417" s="102">
        <v>4.6199999999999998E-2</v>
      </c>
      <c r="N417" s="100"/>
      <c r="O417" s="101">
        <f t="shared" si="37"/>
        <v>21363.72</v>
      </c>
      <c r="P417" s="101">
        <f t="shared" si="38"/>
        <v>42783.72</v>
      </c>
      <c r="Q417" s="101">
        <f t="shared" si="42"/>
        <v>21476.28</v>
      </c>
      <c r="R417" s="101">
        <f t="shared" si="39"/>
        <v>21307.440000000002</v>
      </c>
      <c r="S417" s="101">
        <f t="shared" si="40"/>
        <v>0</v>
      </c>
      <c r="T417" s="103">
        <f t="shared" si="41"/>
        <v>0</v>
      </c>
    </row>
    <row r="418" spans="2:20" x14ac:dyDescent="0.25">
      <c r="B418" s="99">
        <v>414</v>
      </c>
      <c r="C418" s="100" t="s">
        <v>407</v>
      </c>
      <c r="D418" s="100">
        <v>18</v>
      </c>
      <c r="E418" s="100" t="s">
        <v>882</v>
      </c>
      <c r="F418" s="101">
        <v>21.2</v>
      </c>
      <c r="G418" s="101">
        <v>38160</v>
      </c>
      <c r="H418" s="100" t="s">
        <v>883</v>
      </c>
      <c r="I418" s="101">
        <v>10.5</v>
      </c>
      <c r="J418" s="101">
        <v>18912.060000000001</v>
      </c>
      <c r="K418" s="100" t="s">
        <v>399</v>
      </c>
      <c r="L418" s="100">
        <v>19235.88</v>
      </c>
      <c r="M418" s="102">
        <v>4.6699999999999998E-2</v>
      </c>
      <c r="N418" s="100"/>
      <c r="O418" s="101">
        <f t="shared" si="37"/>
        <v>19247.939999999999</v>
      </c>
      <c r="P418" s="101">
        <f t="shared" si="38"/>
        <v>38147.94</v>
      </c>
      <c r="Q418" s="101">
        <f t="shared" si="42"/>
        <v>18912.060000000001</v>
      </c>
      <c r="R418" s="101">
        <f t="shared" si="39"/>
        <v>19235.88</v>
      </c>
      <c r="S418" s="101">
        <f t="shared" si="40"/>
        <v>0</v>
      </c>
      <c r="T418" s="103">
        <f t="shared" si="41"/>
        <v>0</v>
      </c>
    </row>
    <row r="419" spans="2:20" x14ac:dyDescent="0.25">
      <c r="B419" s="99">
        <v>415</v>
      </c>
      <c r="C419" s="100" t="s">
        <v>524</v>
      </c>
      <c r="D419" s="100">
        <v>83</v>
      </c>
      <c r="E419" s="100" t="s">
        <v>888</v>
      </c>
      <c r="F419" s="101">
        <v>5.2</v>
      </c>
      <c r="G419" s="101">
        <v>43160</v>
      </c>
      <c r="H419" s="100" t="s">
        <v>889</v>
      </c>
      <c r="I419" s="101">
        <v>2.5</v>
      </c>
      <c r="J419" s="101">
        <v>20805.61</v>
      </c>
      <c r="K419" s="100" t="s">
        <v>399</v>
      </c>
      <c r="L419" s="100">
        <v>22298.78</v>
      </c>
      <c r="M419" s="102">
        <v>4.8099999999999997E-2</v>
      </c>
      <c r="N419" s="100"/>
      <c r="O419" s="101">
        <f t="shared" si="37"/>
        <v>22354.39</v>
      </c>
      <c r="P419" s="101">
        <f t="shared" si="38"/>
        <v>43104.39</v>
      </c>
      <c r="Q419" s="101">
        <f t="shared" si="42"/>
        <v>20805.61</v>
      </c>
      <c r="R419" s="101">
        <f t="shared" si="39"/>
        <v>22298.78</v>
      </c>
      <c r="S419" s="101">
        <f t="shared" si="40"/>
        <v>0</v>
      </c>
      <c r="T419" s="103">
        <f t="shared" si="41"/>
        <v>0</v>
      </c>
    </row>
    <row r="420" spans="2:20" x14ac:dyDescent="0.25">
      <c r="B420" s="99">
        <v>416</v>
      </c>
      <c r="C420" s="100" t="s">
        <v>508</v>
      </c>
      <c r="D420" s="100">
        <v>86</v>
      </c>
      <c r="E420" s="100" t="s">
        <v>890</v>
      </c>
      <c r="F420" s="101">
        <v>4.7</v>
      </c>
      <c r="G420" s="101">
        <v>40420</v>
      </c>
      <c r="H420" s="100" t="s">
        <v>891</v>
      </c>
      <c r="I420" s="101">
        <v>2.33</v>
      </c>
      <c r="J420" s="101">
        <v>20095.62</v>
      </c>
      <c r="K420" s="100" t="s">
        <v>399</v>
      </c>
      <c r="L420" s="100">
        <v>20266.759999999998</v>
      </c>
      <c r="M420" s="102">
        <v>5.1999999999999998E-2</v>
      </c>
      <c r="N420" s="100"/>
      <c r="O420" s="101">
        <f t="shared" si="37"/>
        <v>20324.38</v>
      </c>
      <c r="P420" s="101">
        <f t="shared" si="38"/>
        <v>40362.379999999997</v>
      </c>
      <c r="Q420" s="101">
        <f t="shared" si="42"/>
        <v>20095.62</v>
      </c>
      <c r="R420" s="101">
        <f t="shared" si="39"/>
        <v>20266.759999999998</v>
      </c>
      <c r="S420" s="101">
        <f t="shared" si="40"/>
        <v>0</v>
      </c>
      <c r="T420" s="103">
        <f t="shared" si="41"/>
        <v>0</v>
      </c>
    </row>
    <row r="421" spans="2:20" x14ac:dyDescent="0.25">
      <c r="B421" s="99">
        <v>417</v>
      </c>
      <c r="C421" s="100" t="s">
        <v>407</v>
      </c>
      <c r="D421" s="100">
        <v>18</v>
      </c>
      <c r="E421" s="100" t="s">
        <v>892</v>
      </c>
      <c r="F421" s="101">
        <v>22.1</v>
      </c>
      <c r="G421" s="101">
        <v>39780</v>
      </c>
      <c r="H421" s="100" t="s">
        <v>893</v>
      </c>
      <c r="I421" s="101">
        <v>10.95</v>
      </c>
      <c r="J421" s="101">
        <v>19722.060000000001</v>
      </c>
      <c r="K421" s="100" t="s">
        <v>399</v>
      </c>
      <c r="L421" s="100">
        <v>20045.88</v>
      </c>
      <c r="M421" s="102">
        <v>4.6800000000000001E-2</v>
      </c>
      <c r="N421" s="100"/>
      <c r="O421" s="101">
        <f t="shared" si="37"/>
        <v>20057.939999999999</v>
      </c>
      <c r="P421" s="101">
        <f t="shared" si="38"/>
        <v>39767.94</v>
      </c>
      <c r="Q421" s="101">
        <f t="shared" si="42"/>
        <v>19722.060000000001</v>
      </c>
      <c r="R421" s="101">
        <f t="shared" si="39"/>
        <v>20045.88</v>
      </c>
      <c r="S421" s="101">
        <f t="shared" si="40"/>
        <v>0</v>
      </c>
      <c r="T421" s="103">
        <f t="shared" si="41"/>
        <v>0</v>
      </c>
    </row>
    <row r="422" spans="2:20" x14ac:dyDescent="0.25">
      <c r="B422" s="99">
        <v>418</v>
      </c>
      <c r="C422" s="100" t="s">
        <v>508</v>
      </c>
      <c r="D422" s="100">
        <v>81</v>
      </c>
      <c r="E422" s="100" t="s">
        <v>894</v>
      </c>
      <c r="F422" s="101">
        <v>5.2</v>
      </c>
      <c r="G422" s="101">
        <v>42120</v>
      </c>
      <c r="H422" s="100" t="s">
        <v>895</v>
      </c>
      <c r="I422" s="101">
        <v>2.4500000000000002</v>
      </c>
      <c r="J422" s="101">
        <v>19899.27</v>
      </c>
      <c r="K422" s="100" t="s">
        <v>399</v>
      </c>
      <c r="L422" s="100">
        <v>22166.46</v>
      </c>
      <c r="M422" s="102">
        <v>5.79E-2</v>
      </c>
      <c r="N422" s="100"/>
      <c r="O422" s="101">
        <f t="shared" si="37"/>
        <v>22220.73</v>
      </c>
      <c r="P422" s="101">
        <f t="shared" si="38"/>
        <v>42065.73</v>
      </c>
      <c r="Q422" s="101">
        <f t="shared" si="42"/>
        <v>19899.27</v>
      </c>
      <c r="R422" s="101">
        <f t="shared" si="39"/>
        <v>22166.460000000003</v>
      </c>
      <c r="S422" s="101">
        <f t="shared" si="40"/>
        <v>0</v>
      </c>
      <c r="T422" s="103">
        <f t="shared" si="41"/>
        <v>0</v>
      </c>
    </row>
    <row r="423" spans="2:20" x14ac:dyDescent="0.25">
      <c r="B423" s="99">
        <v>419</v>
      </c>
      <c r="C423" s="100" t="s">
        <v>508</v>
      </c>
      <c r="D423" s="100">
        <v>99</v>
      </c>
      <c r="E423" s="100" t="s">
        <v>883</v>
      </c>
      <c r="F423" s="101">
        <v>4.3</v>
      </c>
      <c r="G423" s="101">
        <v>42570</v>
      </c>
      <c r="H423" s="100" t="s">
        <v>895</v>
      </c>
      <c r="I423" s="101">
        <v>2.11</v>
      </c>
      <c r="J423" s="101">
        <v>20955.330000000002</v>
      </c>
      <c r="K423" s="100" t="s">
        <v>399</v>
      </c>
      <c r="L423" s="100">
        <v>21548.34</v>
      </c>
      <c r="M423" s="102">
        <v>4.7600000000000003E-2</v>
      </c>
      <c r="N423" s="100"/>
      <c r="O423" s="101">
        <f t="shared" si="37"/>
        <v>21614.67</v>
      </c>
      <c r="P423" s="101">
        <f t="shared" si="38"/>
        <v>42503.67</v>
      </c>
      <c r="Q423" s="101">
        <f t="shared" si="42"/>
        <v>20955.330000000002</v>
      </c>
      <c r="R423" s="101">
        <f t="shared" si="39"/>
        <v>21548.339999999997</v>
      </c>
      <c r="S423" s="101">
        <f t="shared" si="40"/>
        <v>0</v>
      </c>
      <c r="T423" s="103">
        <f t="shared" si="41"/>
        <v>0</v>
      </c>
    </row>
    <row r="424" spans="2:20" x14ac:dyDescent="0.25">
      <c r="B424" s="99">
        <v>420</v>
      </c>
      <c r="C424" s="100" t="s">
        <v>435</v>
      </c>
      <c r="D424" s="100">
        <v>16</v>
      </c>
      <c r="E424" s="100" t="s">
        <v>896</v>
      </c>
      <c r="F424" s="101">
        <v>25.5</v>
      </c>
      <c r="G424" s="101">
        <v>40800</v>
      </c>
      <c r="H424" s="100" t="s">
        <v>897</v>
      </c>
      <c r="I424" s="101">
        <v>1.95</v>
      </c>
      <c r="J424" s="101">
        <v>3130.72</v>
      </c>
      <c r="K424" s="100" t="s">
        <v>399</v>
      </c>
      <c r="L424" s="100">
        <v>37658.559999999998</v>
      </c>
      <c r="M424" s="102">
        <v>0.39560000000000001</v>
      </c>
      <c r="N424" s="100"/>
      <c r="O424" s="101">
        <f t="shared" si="37"/>
        <v>37669.279999999999</v>
      </c>
      <c r="P424" s="101">
        <f t="shared" si="38"/>
        <v>40789.279999999999</v>
      </c>
      <c r="Q424" s="101">
        <f t="shared" si="42"/>
        <v>3130.72</v>
      </c>
      <c r="R424" s="101">
        <f t="shared" si="39"/>
        <v>37658.559999999998</v>
      </c>
      <c r="S424" s="101">
        <f t="shared" si="40"/>
        <v>0</v>
      </c>
      <c r="T424" s="103">
        <f t="shared" si="41"/>
        <v>0</v>
      </c>
    </row>
    <row r="425" spans="2:20" x14ac:dyDescent="0.25">
      <c r="B425" s="99">
        <v>421</v>
      </c>
      <c r="C425" s="100" t="s">
        <v>524</v>
      </c>
      <c r="D425" s="100">
        <v>63</v>
      </c>
      <c r="E425" s="100" t="s">
        <v>898</v>
      </c>
      <c r="F425" s="101">
        <v>6.8</v>
      </c>
      <c r="G425" s="101">
        <v>42840</v>
      </c>
      <c r="H425" s="100" t="s">
        <v>899</v>
      </c>
      <c r="I425" s="101">
        <v>3.4</v>
      </c>
      <c r="J425" s="101">
        <v>21462.21</v>
      </c>
      <c r="K425" s="100" t="s">
        <v>399</v>
      </c>
      <c r="L425" s="100">
        <v>21335.58</v>
      </c>
      <c r="M425" s="102">
        <v>6.3700000000000007E-2</v>
      </c>
      <c r="N425" s="100"/>
      <c r="O425" s="101">
        <f t="shared" si="37"/>
        <v>21377.79</v>
      </c>
      <c r="P425" s="101">
        <f t="shared" si="38"/>
        <v>42797.79</v>
      </c>
      <c r="Q425" s="101">
        <f t="shared" si="42"/>
        <v>21462.21</v>
      </c>
      <c r="R425" s="101">
        <f t="shared" si="39"/>
        <v>21335.58</v>
      </c>
      <c r="S425" s="101">
        <f t="shared" si="40"/>
        <v>0</v>
      </c>
      <c r="T425" s="103">
        <f t="shared" si="41"/>
        <v>0</v>
      </c>
    </row>
    <row r="426" spans="2:20" x14ac:dyDescent="0.25">
      <c r="B426" s="99">
        <v>422</v>
      </c>
      <c r="C426" s="100" t="s">
        <v>814</v>
      </c>
      <c r="D426" s="100">
        <v>72</v>
      </c>
      <c r="E426" s="100" t="s">
        <v>900</v>
      </c>
      <c r="F426" s="101">
        <v>5.95</v>
      </c>
      <c r="G426" s="101">
        <v>42840</v>
      </c>
      <c r="H426" s="100" t="s">
        <v>901</v>
      </c>
      <c r="I426" s="101">
        <v>2.84</v>
      </c>
      <c r="J426" s="101">
        <v>20496.240000000002</v>
      </c>
      <c r="K426" s="100" t="s">
        <v>399</v>
      </c>
      <c r="L426" s="100">
        <v>22295.52</v>
      </c>
      <c r="M426" s="102">
        <v>5.2400000000000002E-2</v>
      </c>
      <c r="N426" s="100"/>
      <c r="O426" s="101">
        <f t="shared" si="37"/>
        <v>22343.759999999998</v>
      </c>
      <c r="P426" s="101">
        <f t="shared" si="38"/>
        <v>42791.76</v>
      </c>
      <c r="Q426" s="101">
        <f t="shared" si="42"/>
        <v>20496.240000000002</v>
      </c>
      <c r="R426" s="101">
        <f t="shared" si="39"/>
        <v>22295.52</v>
      </c>
      <c r="S426" s="101">
        <f t="shared" si="40"/>
        <v>0</v>
      </c>
      <c r="T426" s="103">
        <f t="shared" si="41"/>
        <v>0</v>
      </c>
    </row>
    <row r="427" spans="2:20" x14ac:dyDescent="0.25">
      <c r="B427" s="99">
        <v>423</v>
      </c>
      <c r="C427" s="100" t="s">
        <v>902</v>
      </c>
      <c r="D427" s="100">
        <v>122</v>
      </c>
      <c r="E427" s="100" t="s">
        <v>903</v>
      </c>
      <c r="F427" s="101">
        <v>3.55</v>
      </c>
      <c r="G427" s="101">
        <v>43310</v>
      </c>
      <c r="H427" s="100" t="s">
        <v>904</v>
      </c>
      <c r="I427" s="101">
        <v>1.72</v>
      </c>
      <c r="J427" s="101">
        <v>21065.74</v>
      </c>
      <c r="K427" s="100" t="s">
        <v>399</v>
      </c>
      <c r="L427" s="100">
        <v>22162.52</v>
      </c>
      <c r="M427" s="102">
        <v>4.8500000000000001E-2</v>
      </c>
      <c r="N427" s="100"/>
      <c r="O427" s="101">
        <f t="shared" si="37"/>
        <v>22244.26</v>
      </c>
      <c r="P427" s="101">
        <f t="shared" si="38"/>
        <v>43228.26</v>
      </c>
      <c r="Q427" s="101">
        <f t="shared" si="42"/>
        <v>21065.74</v>
      </c>
      <c r="R427" s="101">
        <f t="shared" si="39"/>
        <v>22162.52</v>
      </c>
      <c r="S427" s="101">
        <f t="shared" si="40"/>
        <v>0</v>
      </c>
      <c r="T427" s="103">
        <f t="shared" si="41"/>
        <v>0</v>
      </c>
    </row>
    <row r="428" spans="2:20" x14ac:dyDescent="0.25">
      <c r="B428" s="99">
        <v>424</v>
      </c>
      <c r="C428" s="100" t="s">
        <v>902</v>
      </c>
      <c r="D428" s="100">
        <v>114</v>
      </c>
      <c r="E428" s="100" t="s">
        <v>874</v>
      </c>
      <c r="F428" s="101">
        <v>3.65</v>
      </c>
      <c r="G428" s="101">
        <v>41610</v>
      </c>
      <c r="H428" s="100" t="s">
        <v>905</v>
      </c>
      <c r="I428" s="101">
        <v>1.62</v>
      </c>
      <c r="J428" s="101">
        <v>18544.38</v>
      </c>
      <c r="K428" s="100" t="s">
        <v>399</v>
      </c>
      <c r="L428" s="100">
        <v>22989.24</v>
      </c>
      <c r="M428" s="102">
        <v>5.2600000000000001E-2</v>
      </c>
      <c r="N428" s="100"/>
      <c r="O428" s="101">
        <f t="shared" si="37"/>
        <v>23065.62</v>
      </c>
      <c r="P428" s="101">
        <f t="shared" si="38"/>
        <v>41533.620000000003</v>
      </c>
      <c r="Q428" s="101">
        <f t="shared" si="42"/>
        <v>18544.38</v>
      </c>
      <c r="R428" s="101">
        <f t="shared" si="39"/>
        <v>22989.24</v>
      </c>
      <c r="S428" s="101">
        <f t="shared" si="40"/>
        <v>0</v>
      </c>
      <c r="T428" s="103">
        <f t="shared" si="41"/>
        <v>0</v>
      </c>
    </row>
    <row r="429" spans="2:20" x14ac:dyDescent="0.25">
      <c r="B429" s="99">
        <v>425</v>
      </c>
      <c r="C429" s="100" t="s">
        <v>461</v>
      </c>
      <c r="D429" s="100">
        <v>21</v>
      </c>
      <c r="E429" s="100" t="s">
        <v>897</v>
      </c>
      <c r="F429" s="101">
        <v>20.399999999999999</v>
      </c>
      <c r="G429" s="101">
        <v>42840</v>
      </c>
      <c r="H429" s="100" t="s">
        <v>906</v>
      </c>
      <c r="I429" s="101">
        <v>9.9</v>
      </c>
      <c r="J429" s="101">
        <v>20804.07</v>
      </c>
      <c r="K429" s="100" t="s">
        <v>399</v>
      </c>
      <c r="L429" s="100">
        <v>22021.86</v>
      </c>
      <c r="M429" s="102">
        <v>4.7800000000000002E-2</v>
      </c>
      <c r="N429" s="100"/>
      <c r="O429" s="101">
        <f t="shared" si="37"/>
        <v>22035.93</v>
      </c>
      <c r="P429" s="101">
        <f t="shared" si="38"/>
        <v>42825.93</v>
      </c>
      <c r="Q429" s="101">
        <f t="shared" si="42"/>
        <v>20804.07</v>
      </c>
      <c r="R429" s="101">
        <f t="shared" si="39"/>
        <v>22021.86</v>
      </c>
      <c r="S429" s="101">
        <f t="shared" si="40"/>
        <v>0</v>
      </c>
      <c r="T429" s="103">
        <f t="shared" si="41"/>
        <v>0</v>
      </c>
    </row>
    <row r="430" spans="2:20" x14ac:dyDescent="0.25">
      <c r="B430" s="99">
        <v>426</v>
      </c>
      <c r="C430" s="100" t="s">
        <v>524</v>
      </c>
      <c r="D430" s="100">
        <v>98</v>
      </c>
      <c r="E430" s="100" t="s">
        <v>907</v>
      </c>
      <c r="F430" s="101">
        <v>4.3</v>
      </c>
      <c r="G430" s="101">
        <v>42140</v>
      </c>
      <c r="H430" s="100" t="s">
        <v>908</v>
      </c>
      <c r="I430" s="101">
        <v>2.15</v>
      </c>
      <c r="J430" s="101">
        <v>21135.66</v>
      </c>
      <c r="K430" s="100" t="s">
        <v>399</v>
      </c>
      <c r="L430" s="100">
        <v>20938.68</v>
      </c>
      <c r="M430" s="102">
        <v>4.6800000000000001E-2</v>
      </c>
      <c r="N430" s="100"/>
      <c r="O430" s="101">
        <f t="shared" si="37"/>
        <v>21004.34</v>
      </c>
      <c r="P430" s="101">
        <f t="shared" si="38"/>
        <v>42074.34</v>
      </c>
      <c r="Q430" s="101">
        <f t="shared" si="42"/>
        <v>21135.66</v>
      </c>
      <c r="R430" s="101">
        <f t="shared" si="39"/>
        <v>20938.679999999997</v>
      </c>
      <c r="S430" s="101">
        <f t="shared" si="40"/>
        <v>0</v>
      </c>
      <c r="T430" s="103">
        <f t="shared" si="41"/>
        <v>0</v>
      </c>
    </row>
    <row r="431" spans="2:20" x14ac:dyDescent="0.25">
      <c r="B431" s="99">
        <v>427</v>
      </c>
      <c r="C431" s="100" t="s">
        <v>909</v>
      </c>
      <c r="D431" s="100">
        <v>85</v>
      </c>
      <c r="E431" s="100" t="s">
        <v>910</v>
      </c>
      <c r="F431" s="101">
        <v>5.0999999999999996</v>
      </c>
      <c r="G431" s="101">
        <v>43350</v>
      </c>
      <c r="H431" s="100" t="s">
        <v>911</v>
      </c>
      <c r="I431" s="101">
        <v>1.75</v>
      </c>
      <c r="J431" s="101">
        <v>14931.95</v>
      </c>
      <c r="K431" s="100" t="s">
        <v>399</v>
      </c>
      <c r="L431" s="100">
        <v>28361.1</v>
      </c>
      <c r="M431" s="102">
        <v>6.08E-2</v>
      </c>
      <c r="N431" s="100"/>
      <c r="O431" s="101">
        <f t="shared" si="37"/>
        <v>28418.05</v>
      </c>
      <c r="P431" s="101">
        <f t="shared" si="38"/>
        <v>43293.049999999996</v>
      </c>
      <c r="Q431" s="101">
        <f t="shared" si="42"/>
        <v>14931.95</v>
      </c>
      <c r="R431" s="101">
        <f t="shared" si="39"/>
        <v>28361.099999999995</v>
      </c>
      <c r="S431" s="101">
        <f t="shared" si="40"/>
        <v>0</v>
      </c>
      <c r="T431" s="103">
        <f t="shared" si="41"/>
        <v>0</v>
      </c>
    </row>
    <row r="432" spans="2:20" x14ac:dyDescent="0.25">
      <c r="B432" s="99">
        <v>428</v>
      </c>
      <c r="C432" s="100" t="s">
        <v>524</v>
      </c>
      <c r="D432" s="100">
        <v>63</v>
      </c>
      <c r="E432" s="100" t="s">
        <v>912</v>
      </c>
      <c r="F432" s="101">
        <v>6.6</v>
      </c>
      <c r="G432" s="101">
        <v>41580</v>
      </c>
      <c r="H432" s="100" t="s">
        <v>913</v>
      </c>
      <c r="I432" s="101">
        <v>3.2</v>
      </c>
      <c r="J432" s="101">
        <v>20202.21</v>
      </c>
      <c r="K432" s="100" t="s">
        <v>399</v>
      </c>
      <c r="L432" s="100">
        <v>21335.58</v>
      </c>
      <c r="M432" s="102">
        <v>6.3399999999999998E-2</v>
      </c>
      <c r="N432" s="100"/>
      <c r="O432" s="101">
        <f t="shared" si="37"/>
        <v>21377.79</v>
      </c>
      <c r="P432" s="101">
        <f t="shared" si="38"/>
        <v>41537.789999999994</v>
      </c>
      <c r="Q432" s="101">
        <f t="shared" si="42"/>
        <v>20202.210000000003</v>
      </c>
      <c r="R432" s="101">
        <f t="shared" si="39"/>
        <v>21335.579999999991</v>
      </c>
      <c r="S432" s="101">
        <f t="shared" si="40"/>
        <v>0</v>
      </c>
      <c r="T432" s="103">
        <f t="shared" si="41"/>
        <v>0</v>
      </c>
    </row>
    <row r="433" spans="2:20" x14ac:dyDescent="0.25">
      <c r="B433" s="99">
        <v>429</v>
      </c>
      <c r="C433" s="100" t="s">
        <v>524</v>
      </c>
      <c r="D433" s="100">
        <v>83</v>
      </c>
      <c r="E433" s="100" t="s">
        <v>889</v>
      </c>
      <c r="F433" s="101">
        <v>5.0999999999999996</v>
      </c>
      <c r="G433" s="101">
        <v>42330</v>
      </c>
      <c r="H433" s="100" t="s">
        <v>914</v>
      </c>
      <c r="I433" s="101">
        <v>2.5499999999999998</v>
      </c>
      <c r="J433" s="101">
        <v>21220.61</v>
      </c>
      <c r="K433" s="100" t="s">
        <v>399</v>
      </c>
      <c r="L433" s="100">
        <v>21053.78</v>
      </c>
      <c r="M433" s="102">
        <v>5.0799999999999998E-2</v>
      </c>
      <c r="N433" s="100"/>
      <c r="O433" s="101">
        <f t="shared" si="37"/>
        <v>21109.39</v>
      </c>
      <c r="P433" s="101">
        <f t="shared" si="38"/>
        <v>42274.389999999992</v>
      </c>
      <c r="Q433" s="101">
        <f t="shared" si="42"/>
        <v>21220.609999999997</v>
      </c>
      <c r="R433" s="101">
        <f t="shared" si="39"/>
        <v>21053.779999999995</v>
      </c>
      <c r="S433" s="101">
        <f t="shared" si="40"/>
        <v>0</v>
      </c>
      <c r="T433" s="103">
        <f t="shared" si="41"/>
        <v>0</v>
      </c>
    </row>
    <row r="434" spans="2:20" x14ac:dyDescent="0.25">
      <c r="B434" s="99">
        <v>430</v>
      </c>
      <c r="C434" s="100" t="s">
        <v>915</v>
      </c>
      <c r="D434" s="100">
        <v>55</v>
      </c>
      <c r="E434" s="100" t="s">
        <v>916</v>
      </c>
      <c r="F434" s="101">
        <v>8.5</v>
      </c>
      <c r="G434" s="101">
        <v>46750</v>
      </c>
      <c r="H434" s="100" t="s">
        <v>914</v>
      </c>
      <c r="I434" s="101">
        <v>4.0999999999999996</v>
      </c>
      <c r="J434" s="101">
        <v>22586.85</v>
      </c>
      <c r="K434" s="100" t="s">
        <v>399</v>
      </c>
      <c r="L434" s="100">
        <v>24126.3</v>
      </c>
      <c r="M434" s="102">
        <v>4.7899999999999998E-2</v>
      </c>
      <c r="N434" s="100"/>
      <c r="O434" s="101">
        <f t="shared" si="37"/>
        <v>24163.15</v>
      </c>
      <c r="P434" s="101">
        <f t="shared" si="38"/>
        <v>46713.15</v>
      </c>
      <c r="Q434" s="101">
        <f t="shared" si="42"/>
        <v>22586.849999999995</v>
      </c>
      <c r="R434" s="101">
        <f t="shared" si="39"/>
        <v>24126.300000000007</v>
      </c>
      <c r="S434" s="101">
        <f t="shared" si="40"/>
        <v>0</v>
      </c>
      <c r="T434" s="103">
        <f t="shared" si="41"/>
        <v>0</v>
      </c>
    </row>
    <row r="435" spans="2:20" x14ac:dyDescent="0.25">
      <c r="B435" s="99">
        <v>431</v>
      </c>
      <c r="C435" s="100" t="s">
        <v>915</v>
      </c>
      <c r="D435" s="100">
        <v>53</v>
      </c>
      <c r="E435" s="100" t="s">
        <v>906</v>
      </c>
      <c r="F435" s="101">
        <v>8.9</v>
      </c>
      <c r="G435" s="101">
        <v>47170</v>
      </c>
      <c r="H435" s="100" t="s">
        <v>917</v>
      </c>
      <c r="I435" s="101">
        <v>4.2</v>
      </c>
      <c r="J435" s="101">
        <v>22295.51</v>
      </c>
      <c r="K435" s="100" t="s">
        <v>399</v>
      </c>
      <c r="L435" s="100">
        <v>24838.98</v>
      </c>
      <c r="M435" s="102">
        <v>5.1400000000000001E-2</v>
      </c>
      <c r="N435" s="100"/>
      <c r="O435" s="101">
        <f t="shared" si="37"/>
        <v>24874.49</v>
      </c>
      <c r="P435" s="101">
        <f t="shared" si="38"/>
        <v>47134.490000000005</v>
      </c>
      <c r="Q435" s="101">
        <f t="shared" si="42"/>
        <v>22295.510000000002</v>
      </c>
      <c r="R435" s="101">
        <f t="shared" si="39"/>
        <v>24838.980000000003</v>
      </c>
      <c r="S435" s="101">
        <f t="shared" si="40"/>
        <v>0</v>
      </c>
      <c r="T435" s="103">
        <f t="shared" si="41"/>
        <v>0</v>
      </c>
    </row>
    <row r="436" spans="2:20" x14ac:dyDescent="0.25">
      <c r="B436" s="99">
        <v>432</v>
      </c>
      <c r="C436" s="100" t="s">
        <v>918</v>
      </c>
      <c r="D436" s="100">
        <v>33</v>
      </c>
      <c r="E436" s="100" t="s">
        <v>919</v>
      </c>
      <c r="F436" s="101">
        <v>13</v>
      </c>
      <c r="G436" s="101">
        <v>42900</v>
      </c>
      <c r="H436" s="100" t="s">
        <v>920</v>
      </c>
      <c r="I436" s="101">
        <v>6.05</v>
      </c>
      <c r="J436" s="101">
        <v>19987.11</v>
      </c>
      <c r="K436" s="100" t="s">
        <v>399</v>
      </c>
      <c r="L436" s="100">
        <v>22890.78</v>
      </c>
      <c r="M436" s="102">
        <v>5.0599999999999999E-2</v>
      </c>
      <c r="N436" s="100"/>
      <c r="O436" s="101">
        <f t="shared" si="37"/>
        <v>22912.89</v>
      </c>
      <c r="P436" s="101">
        <f t="shared" si="38"/>
        <v>42877.89</v>
      </c>
      <c r="Q436" s="101">
        <f t="shared" si="42"/>
        <v>19987.11</v>
      </c>
      <c r="R436" s="101">
        <f t="shared" si="39"/>
        <v>22890.78</v>
      </c>
      <c r="S436" s="101">
        <f t="shared" si="40"/>
        <v>0</v>
      </c>
      <c r="T436" s="103">
        <f t="shared" si="41"/>
        <v>0</v>
      </c>
    </row>
    <row r="437" spans="2:20" x14ac:dyDescent="0.25">
      <c r="B437" s="99">
        <v>433</v>
      </c>
      <c r="C437" s="100" t="s">
        <v>524</v>
      </c>
      <c r="D437" s="100">
        <v>73</v>
      </c>
      <c r="E437" s="100" t="s">
        <v>921</v>
      </c>
      <c r="F437" s="101">
        <v>6</v>
      </c>
      <c r="G437" s="101">
        <v>43800</v>
      </c>
      <c r="H437" s="100" t="s">
        <v>920</v>
      </c>
      <c r="I437" s="101">
        <v>3</v>
      </c>
      <c r="J437" s="101">
        <v>21948.91</v>
      </c>
      <c r="K437" s="100" t="s">
        <v>399</v>
      </c>
      <c r="L437" s="100">
        <v>21802.18</v>
      </c>
      <c r="M437" s="102">
        <v>5.33E-2</v>
      </c>
      <c r="N437" s="100"/>
      <c r="O437" s="101">
        <f t="shared" si="37"/>
        <v>21851.09</v>
      </c>
      <c r="P437" s="101">
        <f t="shared" si="38"/>
        <v>43751.09</v>
      </c>
      <c r="Q437" s="101">
        <f t="shared" si="42"/>
        <v>21948.91</v>
      </c>
      <c r="R437" s="101">
        <f t="shared" si="39"/>
        <v>21802.179999999997</v>
      </c>
      <c r="S437" s="101">
        <f t="shared" si="40"/>
        <v>0</v>
      </c>
      <c r="T437" s="103">
        <f t="shared" si="41"/>
        <v>0</v>
      </c>
    </row>
    <row r="438" spans="2:20" x14ac:dyDescent="0.25">
      <c r="B438" s="99">
        <v>434</v>
      </c>
      <c r="C438" s="100" t="s">
        <v>524</v>
      </c>
      <c r="D438" s="100">
        <v>78</v>
      </c>
      <c r="E438" s="100" t="s">
        <v>895</v>
      </c>
      <c r="F438" s="101">
        <v>5.6</v>
      </c>
      <c r="G438" s="101">
        <v>43680</v>
      </c>
      <c r="H438" s="100" t="s">
        <v>922</v>
      </c>
      <c r="I438" s="101">
        <v>2.6</v>
      </c>
      <c r="J438" s="101">
        <v>20332.259999999998</v>
      </c>
      <c r="K438" s="100" t="s">
        <v>399</v>
      </c>
      <c r="L438" s="100">
        <v>23295.48</v>
      </c>
      <c r="M438" s="102">
        <v>5.3900000000000003E-2</v>
      </c>
      <c r="N438" s="100"/>
      <c r="O438" s="101">
        <f t="shared" si="37"/>
        <v>23347.74</v>
      </c>
      <c r="P438" s="101">
        <f t="shared" si="38"/>
        <v>43627.739999999991</v>
      </c>
      <c r="Q438" s="101">
        <f t="shared" si="42"/>
        <v>20332.259999999998</v>
      </c>
      <c r="R438" s="101">
        <f t="shared" si="39"/>
        <v>23295.479999999992</v>
      </c>
      <c r="S438" s="101">
        <f t="shared" si="40"/>
        <v>0</v>
      </c>
      <c r="T438" s="103">
        <f t="shared" si="41"/>
        <v>0</v>
      </c>
    </row>
    <row r="439" spans="2:20" x14ac:dyDescent="0.25">
      <c r="B439" s="99">
        <v>435</v>
      </c>
      <c r="C439" s="100" t="s">
        <v>918</v>
      </c>
      <c r="D439" s="100">
        <v>31</v>
      </c>
      <c r="E439" s="100" t="s">
        <v>893</v>
      </c>
      <c r="F439" s="101">
        <v>13.65</v>
      </c>
      <c r="G439" s="101">
        <v>42315</v>
      </c>
      <c r="H439" s="100" t="s">
        <v>923</v>
      </c>
      <c r="I439" s="101">
        <v>6.1</v>
      </c>
      <c r="J439" s="101">
        <v>18930.77</v>
      </c>
      <c r="K439" s="100" t="s">
        <v>399</v>
      </c>
      <c r="L439" s="100">
        <v>23363.46</v>
      </c>
      <c r="M439" s="102">
        <v>5.33E-2</v>
      </c>
      <c r="N439" s="100"/>
      <c r="O439" s="101">
        <f t="shared" si="37"/>
        <v>23384.23</v>
      </c>
      <c r="P439" s="101">
        <f t="shared" si="38"/>
        <v>42294.23</v>
      </c>
      <c r="Q439" s="101">
        <f t="shared" si="42"/>
        <v>18930.77</v>
      </c>
      <c r="R439" s="101">
        <f t="shared" si="39"/>
        <v>23363.460000000003</v>
      </c>
      <c r="S439" s="101">
        <f t="shared" si="40"/>
        <v>0</v>
      </c>
      <c r="T439" s="103">
        <f t="shared" si="41"/>
        <v>0</v>
      </c>
    </row>
    <row r="440" spans="2:20" x14ac:dyDescent="0.25">
      <c r="B440" s="99">
        <v>436</v>
      </c>
      <c r="C440" s="100" t="s">
        <v>902</v>
      </c>
      <c r="D440" s="100">
        <v>124</v>
      </c>
      <c r="E440" s="100" t="s">
        <v>924</v>
      </c>
      <c r="F440" s="101">
        <v>3.7</v>
      </c>
      <c r="G440" s="101">
        <v>45880</v>
      </c>
      <c r="H440" s="100" t="s">
        <v>925</v>
      </c>
      <c r="I440" s="101">
        <v>1.57</v>
      </c>
      <c r="J440" s="101">
        <v>19551.080000000002</v>
      </c>
      <c r="K440" s="100" t="s">
        <v>399</v>
      </c>
      <c r="L440" s="100">
        <v>26245.84</v>
      </c>
      <c r="M440" s="102">
        <v>5.67E-2</v>
      </c>
      <c r="N440" s="100"/>
      <c r="O440" s="101">
        <f t="shared" si="37"/>
        <v>26328.92</v>
      </c>
      <c r="P440" s="101">
        <f t="shared" si="38"/>
        <v>45796.92</v>
      </c>
      <c r="Q440" s="101">
        <f t="shared" si="42"/>
        <v>19551.080000000002</v>
      </c>
      <c r="R440" s="101">
        <f t="shared" si="39"/>
        <v>26245.839999999997</v>
      </c>
      <c r="S440" s="101">
        <f t="shared" si="40"/>
        <v>0</v>
      </c>
      <c r="T440" s="103">
        <f t="shared" si="41"/>
        <v>0</v>
      </c>
    </row>
    <row r="441" spans="2:20" x14ac:dyDescent="0.25">
      <c r="B441" s="99">
        <v>437</v>
      </c>
      <c r="C441" s="100" t="s">
        <v>930</v>
      </c>
      <c r="D441" s="100">
        <v>124</v>
      </c>
      <c r="E441" s="100" t="s">
        <v>931</v>
      </c>
      <c r="F441" s="101">
        <v>3.85</v>
      </c>
      <c r="G441" s="101">
        <v>47740</v>
      </c>
      <c r="H441" s="100" t="s">
        <v>932</v>
      </c>
      <c r="I441" s="101">
        <v>1.73</v>
      </c>
      <c r="J441" s="101">
        <v>21535.08</v>
      </c>
      <c r="K441" s="100" t="s">
        <v>399</v>
      </c>
      <c r="L441" s="100">
        <v>26121.84</v>
      </c>
      <c r="M441" s="102">
        <v>9.0999999999999998E-2</v>
      </c>
      <c r="N441" s="100"/>
      <c r="O441" s="101">
        <f t="shared" si="37"/>
        <v>26204.92</v>
      </c>
      <c r="P441" s="101">
        <f t="shared" si="38"/>
        <v>47656.92</v>
      </c>
      <c r="Q441" s="101">
        <f t="shared" si="42"/>
        <v>21535.08</v>
      </c>
      <c r="R441" s="101">
        <f t="shared" si="39"/>
        <v>26121.839999999997</v>
      </c>
      <c r="S441" s="101">
        <f t="shared" si="40"/>
        <v>0</v>
      </c>
      <c r="T441" s="103">
        <f t="shared" si="41"/>
        <v>0</v>
      </c>
    </row>
    <row r="442" spans="2:20" x14ac:dyDescent="0.25">
      <c r="B442" s="99">
        <v>438</v>
      </c>
      <c r="C442" s="100" t="s">
        <v>930</v>
      </c>
      <c r="D442" s="100">
        <v>127</v>
      </c>
      <c r="E442" s="100" t="s">
        <v>933</v>
      </c>
      <c r="F442" s="101">
        <v>3.8</v>
      </c>
      <c r="G442" s="101">
        <v>48260</v>
      </c>
      <c r="H442" s="100" t="s">
        <v>934</v>
      </c>
      <c r="I442" s="101">
        <v>1.9</v>
      </c>
      <c r="J442" s="101">
        <v>24215.09</v>
      </c>
      <c r="K442" s="100" t="s">
        <v>399</v>
      </c>
      <c r="L442" s="100">
        <v>23959.82</v>
      </c>
      <c r="M442" s="102">
        <v>7.8E-2</v>
      </c>
      <c r="N442" s="100"/>
      <c r="O442" s="101">
        <f t="shared" si="37"/>
        <v>24044.91</v>
      </c>
      <c r="P442" s="101">
        <f t="shared" si="38"/>
        <v>48174.91</v>
      </c>
      <c r="Q442" s="101">
        <f t="shared" si="42"/>
        <v>24215.09</v>
      </c>
      <c r="R442" s="101">
        <f t="shared" si="39"/>
        <v>23959.820000000003</v>
      </c>
      <c r="S442" s="101">
        <f t="shared" si="40"/>
        <v>0</v>
      </c>
      <c r="T442" s="103">
        <f t="shared" si="41"/>
        <v>0</v>
      </c>
    </row>
    <row r="443" spans="2:20" x14ac:dyDescent="0.25">
      <c r="B443" s="99">
        <v>439</v>
      </c>
      <c r="C443" s="100" t="s">
        <v>930</v>
      </c>
      <c r="D443" s="100">
        <v>121</v>
      </c>
      <c r="E443" s="100" t="s">
        <v>935</v>
      </c>
      <c r="F443" s="101">
        <v>4</v>
      </c>
      <c r="G443" s="101">
        <v>48400</v>
      </c>
      <c r="H443" s="100" t="s">
        <v>936</v>
      </c>
      <c r="I443" s="101">
        <v>1.89</v>
      </c>
      <c r="J443" s="101">
        <v>22950.07</v>
      </c>
      <c r="K443" s="100" t="s">
        <v>399</v>
      </c>
      <c r="L443" s="100">
        <v>25368.86</v>
      </c>
      <c r="M443" s="102">
        <v>8.3900000000000002E-2</v>
      </c>
      <c r="N443" s="100"/>
      <c r="O443" s="101">
        <f t="shared" si="37"/>
        <v>25449.93</v>
      </c>
      <c r="P443" s="101">
        <f t="shared" si="38"/>
        <v>48318.93</v>
      </c>
      <c r="Q443" s="101">
        <f t="shared" si="42"/>
        <v>22950.07</v>
      </c>
      <c r="R443" s="101">
        <f t="shared" si="39"/>
        <v>25368.86</v>
      </c>
      <c r="S443" s="101">
        <f t="shared" si="40"/>
        <v>0</v>
      </c>
      <c r="T443" s="103">
        <f t="shared" si="41"/>
        <v>0</v>
      </c>
    </row>
    <row r="444" spans="2:20" x14ac:dyDescent="0.25">
      <c r="B444" s="99">
        <v>440</v>
      </c>
      <c r="C444" s="100" t="s">
        <v>937</v>
      </c>
      <c r="D444" s="100">
        <v>52</v>
      </c>
      <c r="E444" s="100" t="s">
        <v>938</v>
      </c>
      <c r="F444" s="101">
        <v>9.1999999999999993</v>
      </c>
      <c r="G444" s="101">
        <v>47840</v>
      </c>
      <c r="H444" s="100" t="s">
        <v>939</v>
      </c>
      <c r="I444" s="101">
        <v>4.45</v>
      </c>
      <c r="J444" s="101">
        <v>23174.84</v>
      </c>
      <c r="K444" s="100" t="s">
        <v>399</v>
      </c>
      <c r="L444" s="100">
        <v>24630.32</v>
      </c>
      <c r="M444" s="102">
        <v>4.7E-2</v>
      </c>
      <c r="N444" s="100"/>
      <c r="O444" s="101">
        <f t="shared" si="37"/>
        <v>24665.16</v>
      </c>
      <c r="P444" s="101">
        <f t="shared" si="38"/>
        <v>47805.16</v>
      </c>
      <c r="Q444" s="101">
        <f t="shared" si="42"/>
        <v>23174.84</v>
      </c>
      <c r="R444" s="101">
        <f t="shared" si="39"/>
        <v>24630.320000000003</v>
      </c>
      <c r="S444" s="101">
        <f t="shared" si="40"/>
        <v>0</v>
      </c>
      <c r="T444" s="103">
        <f t="shared" si="41"/>
        <v>0</v>
      </c>
    </row>
    <row r="445" spans="2:20" x14ac:dyDescent="0.25">
      <c r="B445" s="99">
        <v>441</v>
      </c>
      <c r="C445" s="100" t="s">
        <v>930</v>
      </c>
      <c r="D445" s="100">
        <v>120</v>
      </c>
      <c r="E445" s="100" t="s">
        <v>940</v>
      </c>
      <c r="F445" s="101">
        <v>4.05</v>
      </c>
      <c r="G445" s="101">
        <v>48600</v>
      </c>
      <c r="H445" s="100" t="s">
        <v>939</v>
      </c>
      <c r="I445" s="101">
        <v>2</v>
      </c>
      <c r="J445" s="101">
        <v>24080.400000000001</v>
      </c>
      <c r="K445" s="100" t="s">
        <v>399</v>
      </c>
      <c r="L445" s="100">
        <v>24439.200000000001</v>
      </c>
      <c r="M445" s="102">
        <v>7.85E-2</v>
      </c>
      <c r="N445" s="100"/>
      <c r="O445" s="101">
        <f t="shared" si="37"/>
        <v>24519.599999999999</v>
      </c>
      <c r="P445" s="101">
        <f t="shared" si="38"/>
        <v>48519.6</v>
      </c>
      <c r="Q445" s="101">
        <f t="shared" si="42"/>
        <v>24080.400000000001</v>
      </c>
      <c r="R445" s="101">
        <f t="shared" si="39"/>
        <v>24439.199999999997</v>
      </c>
      <c r="S445" s="101">
        <f t="shared" si="40"/>
        <v>0</v>
      </c>
      <c r="T445" s="103">
        <f t="shared" si="41"/>
        <v>0</v>
      </c>
    </row>
    <row r="446" spans="2:20" x14ac:dyDescent="0.25">
      <c r="B446" s="99">
        <v>442</v>
      </c>
      <c r="C446" s="100" t="s">
        <v>930</v>
      </c>
      <c r="D446" s="100">
        <v>121</v>
      </c>
      <c r="E446" s="100" t="s">
        <v>941</v>
      </c>
      <c r="F446" s="101">
        <v>4.05</v>
      </c>
      <c r="G446" s="101">
        <v>49005</v>
      </c>
      <c r="H446" s="100" t="s">
        <v>942</v>
      </c>
      <c r="I446" s="101">
        <v>1.92</v>
      </c>
      <c r="J446" s="101">
        <v>23313.07</v>
      </c>
      <c r="K446" s="100" t="s">
        <v>399</v>
      </c>
      <c r="L446" s="100">
        <v>25610.86</v>
      </c>
      <c r="M446" s="102">
        <v>7.85E-2</v>
      </c>
      <c r="N446" s="100"/>
      <c r="O446" s="101">
        <f t="shared" si="37"/>
        <v>25691.93</v>
      </c>
      <c r="P446" s="101">
        <f t="shared" si="38"/>
        <v>48923.929999999993</v>
      </c>
      <c r="Q446" s="101">
        <f t="shared" si="42"/>
        <v>23313.07</v>
      </c>
      <c r="R446" s="101">
        <f t="shared" si="39"/>
        <v>25610.859999999993</v>
      </c>
      <c r="S446" s="101">
        <f t="shared" si="40"/>
        <v>0</v>
      </c>
      <c r="T446" s="103">
        <f t="shared" si="41"/>
        <v>0</v>
      </c>
    </row>
    <row r="447" spans="2:20" x14ac:dyDescent="0.25">
      <c r="B447" s="99">
        <v>443</v>
      </c>
      <c r="C447" s="100" t="s">
        <v>524</v>
      </c>
      <c r="D447" s="100">
        <v>63</v>
      </c>
      <c r="E447" s="100" t="s">
        <v>951</v>
      </c>
      <c r="F447" s="101">
        <v>7.6</v>
      </c>
      <c r="G447" s="101">
        <v>47880</v>
      </c>
      <c r="H447" s="100" t="s">
        <v>952</v>
      </c>
      <c r="I447" s="101">
        <v>3.8</v>
      </c>
      <c r="J447" s="101">
        <v>23982.21</v>
      </c>
      <c r="K447" s="100" t="s">
        <v>399</v>
      </c>
      <c r="L447" s="100">
        <v>23855.58</v>
      </c>
      <c r="M447" s="102">
        <v>4.5999999999999999E-2</v>
      </c>
      <c r="N447" s="100"/>
      <c r="O447" s="101">
        <f t="shared" si="37"/>
        <v>23897.79</v>
      </c>
      <c r="P447" s="101">
        <f t="shared" si="38"/>
        <v>47837.789999999994</v>
      </c>
      <c r="Q447" s="101">
        <f t="shared" si="42"/>
        <v>23982.209999999995</v>
      </c>
      <c r="R447" s="101">
        <f t="shared" si="39"/>
        <v>23855.579999999998</v>
      </c>
      <c r="S447" s="101">
        <f t="shared" si="40"/>
        <v>0</v>
      </c>
      <c r="T447" s="103">
        <f t="shared" si="41"/>
        <v>0</v>
      </c>
    </row>
    <row r="448" spans="2:20" x14ac:dyDescent="0.25">
      <c r="B448" s="99">
        <v>444</v>
      </c>
      <c r="C448" s="100" t="s">
        <v>581</v>
      </c>
      <c r="D448" s="100">
        <v>115</v>
      </c>
      <c r="E448" s="100" t="s">
        <v>953</v>
      </c>
      <c r="F448" s="101">
        <v>4.1500000000000004</v>
      </c>
      <c r="G448" s="101">
        <v>47725</v>
      </c>
      <c r="H448" s="100" t="s">
        <v>954</v>
      </c>
      <c r="I448" s="101">
        <v>1.96</v>
      </c>
      <c r="J448" s="101">
        <v>22617.05</v>
      </c>
      <c r="K448" s="100" t="s">
        <v>399</v>
      </c>
      <c r="L448" s="100">
        <v>25030.9</v>
      </c>
      <c r="M448" s="102">
        <v>9.5299999999999996E-2</v>
      </c>
      <c r="N448" s="100"/>
      <c r="O448" s="101">
        <f t="shared" si="37"/>
        <v>25107.95</v>
      </c>
      <c r="P448" s="101">
        <f t="shared" si="38"/>
        <v>47647.950000000004</v>
      </c>
      <c r="Q448" s="101">
        <f t="shared" si="42"/>
        <v>22617.05</v>
      </c>
      <c r="R448" s="101">
        <f t="shared" si="39"/>
        <v>25030.900000000005</v>
      </c>
      <c r="S448" s="101">
        <f t="shared" si="40"/>
        <v>0</v>
      </c>
      <c r="T448" s="103">
        <f t="shared" si="41"/>
        <v>0</v>
      </c>
    </row>
    <row r="449" spans="2:20" x14ac:dyDescent="0.25">
      <c r="B449" s="99">
        <v>445</v>
      </c>
      <c r="C449" s="100" t="s">
        <v>581</v>
      </c>
      <c r="D449" s="100">
        <v>114</v>
      </c>
      <c r="E449" s="100" t="s">
        <v>955</v>
      </c>
      <c r="F449" s="101">
        <v>4.2</v>
      </c>
      <c r="G449" s="101">
        <v>47880</v>
      </c>
      <c r="H449" s="100" t="s">
        <v>956</v>
      </c>
      <c r="I449" s="101">
        <v>1.77</v>
      </c>
      <c r="J449" s="101">
        <v>20254.38</v>
      </c>
      <c r="K449" s="100" t="s">
        <v>399</v>
      </c>
      <c r="L449" s="100">
        <v>27549.24</v>
      </c>
      <c r="M449" s="102">
        <v>0.10150000000000001</v>
      </c>
      <c r="N449" s="100"/>
      <c r="O449" s="101">
        <f t="shared" si="37"/>
        <v>27625.62</v>
      </c>
      <c r="P449" s="101">
        <f t="shared" si="38"/>
        <v>47803.62</v>
      </c>
      <c r="Q449" s="101">
        <f t="shared" si="42"/>
        <v>20254.38</v>
      </c>
      <c r="R449" s="101">
        <f t="shared" si="39"/>
        <v>27549.24</v>
      </c>
      <c r="S449" s="101">
        <f t="shared" si="40"/>
        <v>0</v>
      </c>
      <c r="T449" s="103">
        <f t="shared" si="41"/>
        <v>0</v>
      </c>
    </row>
    <row r="450" spans="2:20" x14ac:dyDescent="0.25">
      <c r="B450" s="99">
        <v>446</v>
      </c>
      <c r="C450" s="100" t="s">
        <v>581</v>
      </c>
      <c r="D450" s="100">
        <v>83</v>
      </c>
      <c r="E450" s="100" t="s">
        <v>957</v>
      </c>
      <c r="F450" s="101">
        <v>5.8</v>
      </c>
      <c r="G450" s="101">
        <v>48140</v>
      </c>
      <c r="H450" s="100" t="s">
        <v>958</v>
      </c>
      <c r="I450" s="101">
        <v>2.87</v>
      </c>
      <c r="J450" s="101">
        <v>23876.61</v>
      </c>
      <c r="K450" s="100" t="s">
        <v>399</v>
      </c>
      <c r="L450" s="100">
        <v>24207.78</v>
      </c>
      <c r="M450" s="102">
        <v>0.13139999999999999</v>
      </c>
      <c r="N450" s="100"/>
      <c r="O450" s="101">
        <f t="shared" si="37"/>
        <v>24263.39</v>
      </c>
      <c r="P450" s="101">
        <f t="shared" si="38"/>
        <v>48084.39</v>
      </c>
      <c r="Q450" s="101">
        <f t="shared" si="42"/>
        <v>23876.61</v>
      </c>
      <c r="R450" s="101">
        <f t="shared" si="39"/>
        <v>24207.78</v>
      </c>
      <c r="S450" s="101">
        <f t="shared" si="40"/>
        <v>0</v>
      </c>
      <c r="T450" s="103">
        <f t="shared" si="41"/>
        <v>0</v>
      </c>
    </row>
    <row r="451" spans="2:20" x14ac:dyDescent="0.25">
      <c r="B451" s="99">
        <v>447</v>
      </c>
      <c r="C451" s="100" t="s">
        <v>581</v>
      </c>
      <c r="D451" s="100">
        <v>119</v>
      </c>
      <c r="E451" s="100" t="s">
        <v>959</v>
      </c>
      <c r="F451" s="101">
        <v>4</v>
      </c>
      <c r="G451" s="101">
        <v>47600</v>
      </c>
      <c r="H451" s="100" t="s">
        <v>960</v>
      </c>
      <c r="I451" s="101">
        <v>1.98</v>
      </c>
      <c r="J451" s="101">
        <v>23641.73</v>
      </c>
      <c r="K451" s="100" t="s">
        <v>399</v>
      </c>
      <c r="L451" s="100">
        <v>23878.54</v>
      </c>
      <c r="M451" s="102">
        <v>0.1003</v>
      </c>
      <c r="N451" s="100"/>
      <c r="O451" s="101">
        <f t="shared" si="37"/>
        <v>23958.27</v>
      </c>
      <c r="P451" s="101">
        <f t="shared" si="38"/>
        <v>47520.27</v>
      </c>
      <c r="Q451" s="101">
        <f t="shared" si="42"/>
        <v>23641.73</v>
      </c>
      <c r="R451" s="101">
        <f t="shared" si="39"/>
        <v>23878.539999999997</v>
      </c>
      <c r="S451" s="101">
        <f t="shared" si="40"/>
        <v>0</v>
      </c>
      <c r="T451" s="103">
        <f t="shared" si="41"/>
        <v>0</v>
      </c>
    </row>
    <row r="452" spans="2:20" x14ac:dyDescent="0.25">
      <c r="B452" s="99">
        <v>448</v>
      </c>
      <c r="C452" s="100" t="s">
        <v>930</v>
      </c>
      <c r="D452" s="100">
        <v>94</v>
      </c>
      <c r="E452" s="100" t="s">
        <v>961</v>
      </c>
      <c r="F452" s="101">
        <v>5.0999999999999996</v>
      </c>
      <c r="G452" s="101">
        <v>47940</v>
      </c>
      <c r="H452" s="100" t="s">
        <v>962</v>
      </c>
      <c r="I452" s="101">
        <v>2.5</v>
      </c>
      <c r="J452" s="101">
        <v>23562.98</v>
      </c>
      <c r="K452" s="100" t="s">
        <v>399</v>
      </c>
      <c r="L452" s="100">
        <v>24314.04</v>
      </c>
      <c r="M452" s="102">
        <v>7.0099999999999996E-2</v>
      </c>
      <c r="N452" s="100"/>
      <c r="O452" s="101">
        <f t="shared" si="37"/>
        <v>24377.02</v>
      </c>
      <c r="P452" s="101">
        <f t="shared" si="38"/>
        <v>47877.02</v>
      </c>
      <c r="Q452" s="101">
        <f t="shared" si="42"/>
        <v>23562.98</v>
      </c>
      <c r="R452" s="101">
        <f t="shared" si="39"/>
        <v>24314.039999999997</v>
      </c>
      <c r="S452" s="101">
        <f t="shared" si="40"/>
        <v>0</v>
      </c>
      <c r="T452" s="103">
        <f t="shared" si="41"/>
        <v>0</v>
      </c>
    </row>
    <row r="453" spans="2:20" x14ac:dyDescent="0.25">
      <c r="B453" s="99">
        <v>449</v>
      </c>
      <c r="C453" s="100" t="s">
        <v>581</v>
      </c>
      <c r="D453" s="100">
        <v>98</v>
      </c>
      <c r="E453" s="100" t="s">
        <v>963</v>
      </c>
      <c r="F453" s="101">
        <v>4.9000000000000004</v>
      </c>
      <c r="G453" s="101">
        <v>48020</v>
      </c>
      <c r="H453" s="100" t="s">
        <v>962</v>
      </c>
      <c r="I453" s="101">
        <v>2.25</v>
      </c>
      <c r="J453" s="101">
        <v>22115.66</v>
      </c>
      <c r="K453" s="100" t="s">
        <v>399</v>
      </c>
      <c r="L453" s="100">
        <v>25838.68</v>
      </c>
      <c r="M453" s="102">
        <v>0.1193</v>
      </c>
      <c r="N453" s="100"/>
      <c r="O453" s="101">
        <f t="shared" si="37"/>
        <v>25904.34</v>
      </c>
      <c r="P453" s="101">
        <f t="shared" si="38"/>
        <v>47954.340000000004</v>
      </c>
      <c r="Q453" s="101">
        <f t="shared" si="42"/>
        <v>22115.66</v>
      </c>
      <c r="R453" s="101">
        <f t="shared" si="39"/>
        <v>25838.680000000004</v>
      </c>
      <c r="S453" s="101">
        <f t="shared" si="40"/>
        <v>0</v>
      </c>
      <c r="T453" s="103">
        <f t="shared" si="41"/>
        <v>0</v>
      </c>
    </row>
    <row r="454" spans="2:20" x14ac:dyDescent="0.25">
      <c r="B454" s="99">
        <v>450</v>
      </c>
      <c r="C454" s="100" t="s">
        <v>581</v>
      </c>
      <c r="D454" s="100">
        <v>130</v>
      </c>
      <c r="E454" s="100" t="s">
        <v>964</v>
      </c>
      <c r="F454" s="101">
        <v>3.7</v>
      </c>
      <c r="G454" s="101">
        <v>48100</v>
      </c>
      <c r="H454" s="100" t="s">
        <v>962</v>
      </c>
      <c r="I454" s="101">
        <v>1.85</v>
      </c>
      <c r="J454" s="101">
        <v>24137.1</v>
      </c>
      <c r="K454" s="100" t="s">
        <v>399</v>
      </c>
      <c r="L454" s="100">
        <v>23875.8</v>
      </c>
      <c r="M454" s="102">
        <v>8.6199999999999999E-2</v>
      </c>
      <c r="N454" s="100"/>
      <c r="O454" s="101">
        <f t="shared" ref="O454:O517" si="43">G454-J454</f>
        <v>23962.9</v>
      </c>
      <c r="P454" s="101">
        <f t="shared" ref="P454:P517" si="44">F454*D454*100 - D454*0.67</f>
        <v>48012.9</v>
      </c>
      <c r="Q454" s="101">
        <f t="shared" si="42"/>
        <v>24137.1</v>
      </c>
      <c r="R454" s="101">
        <f t="shared" ref="R454:R517" si="45">P454-Q454</f>
        <v>23875.800000000003</v>
      </c>
      <c r="S454" s="101">
        <f t="shared" ref="S454:S517" si="46">L454-R454</f>
        <v>0</v>
      </c>
      <c r="T454" s="103">
        <f t="shared" ref="T454:T517" si="47">S454/D454</f>
        <v>0</v>
      </c>
    </row>
    <row r="455" spans="2:20" x14ac:dyDescent="0.25">
      <c r="B455" s="99">
        <v>451</v>
      </c>
      <c r="C455" s="100" t="s">
        <v>581</v>
      </c>
      <c r="D455" s="100">
        <v>116</v>
      </c>
      <c r="E455" s="100" t="s">
        <v>965</v>
      </c>
      <c r="F455" s="101">
        <v>4.1500000000000004</v>
      </c>
      <c r="G455" s="101">
        <v>48140</v>
      </c>
      <c r="H455" s="100" t="s">
        <v>966</v>
      </c>
      <c r="I455" s="101">
        <v>1.9</v>
      </c>
      <c r="J455" s="101">
        <v>22117.72</v>
      </c>
      <c r="K455" s="100" t="s">
        <v>399</v>
      </c>
      <c r="L455" s="100">
        <v>25944.560000000001</v>
      </c>
      <c r="M455" s="102">
        <v>0.1024</v>
      </c>
      <c r="N455" s="100"/>
      <c r="O455" s="101">
        <f t="shared" si="43"/>
        <v>26022.28</v>
      </c>
      <c r="P455" s="101">
        <f t="shared" si="44"/>
        <v>48062.28</v>
      </c>
      <c r="Q455" s="101">
        <f t="shared" si="42"/>
        <v>22117.719999999998</v>
      </c>
      <c r="R455" s="101">
        <f t="shared" si="45"/>
        <v>25944.560000000001</v>
      </c>
      <c r="S455" s="101">
        <f t="shared" si="46"/>
        <v>0</v>
      </c>
      <c r="T455" s="103">
        <f t="shared" si="47"/>
        <v>0</v>
      </c>
    </row>
    <row r="456" spans="2:20" x14ac:dyDescent="0.25">
      <c r="B456" s="99">
        <v>452</v>
      </c>
      <c r="C456" s="100" t="s">
        <v>930</v>
      </c>
      <c r="D456" s="100">
        <v>99</v>
      </c>
      <c r="E456" s="100" t="s">
        <v>967</v>
      </c>
      <c r="F456" s="101">
        <v>4.9000000000000004</v>
      </c>
      <c r="G456" s="101">
        <v>48510</v>
      </c>
      <c r="H456" s="100" t="s">
        <v>968</v>
      </c>
      <c r="I456" s="101">
        <v>2.35</v>
      </c>
      <c r="J456" s="101">
        <v>23331.33</v>
      </c>
      <c r="K456" s="100" t="s">
        <v>399</v>
      </c>
      <c r="L456" s="100">
        <v>25112.34</v>
      </c>
      <c r="M456" s="102">
        <v>6.3299999999999995E-2</v>
      </c>
      <c r="N456" s="100"/>
      <c r="O456" s="101">
        <f t="shared" si="43"/>
        <v>25178.67</v>
      </c>
      <c r="P456" s="101">
        <f t="shared" si="44"/>
        <v>48443.67</v>
      </c>
      <c r="Q456" s="101">
        <f t="shared" si="42"/>
        <v>23331.33</v>
      </c>
      <c r="R456" s="101">
        <f t="shared" si="45"/>
        <v>25112.339999999997</v>
      </c>
      <c r="S456" s="101">
        <f t="shared" si="46"/>
        <v>0</v>
      </c>
      <c r="T456" s="103">
        <f t="shared" si="47"/>
        <v>0</v>
      </c>
    </row>
    <row r="457" spans="2:20" x14ac:dyDescent="0.25">
      <c r="B457" s="99">
        <v>453</v>
      </c>
      <c r="C457" s="100" t="s">
        <v>930</v>
      </c>
      <c r="D457" s="100">
        <v>122</v>
      </c>
      <c r="E457" s="100" t="s">
        <v>969</v>
      </c>
      <c r="F457" s="101">
        <v>4</v>
      </c>
      <c r="G457" s="101">
        <v>48800</v>
      </c>
      <c r="H457" s="100" t="s">
        <v>968</v>
      </c>
      <c r="I457" s="101">
        <v>1.92</v>
      </c>
      <c r="J457" s="101">
        <v>23505.74</v>
      </c>
      <c r="K457" s="100" t="s">
        <v>399</v>
      </c>
      <c r="L457" s="100">
        <v>25212.52</v>
      </c>
      <c r="M457" s="102">
        <v>5.04E-2</v>
      </c>
      <c r="N457" s="100"/>
      <c r="O457" s="101">
        <f t="shared" si="43"/>
        <v>25294.26</v>
      </c>
      <c r="P457" s="101">
        <f t="shared" si="44"/>
        <v>48718.26</v>
      </c>
      <c r="Q457" s="101">
        <f t="shared" si="42"/>
        <v>23505.739999999998</v>
      </c>
      <c r="R457" s="101">
        <f t="shared" si="45"/>
        <v>25212.520000000004</v>
      </c>
      <c r="S457" s="101">
        <f t="shared" si="46"/>
        <v>0</v>
      </c>
      <c r="T457" s="103">
        <f t="shared" si="47"/>
        <v>0</v>
      </c>
    </row>
    <row r="458" spans="2:20" x14ac:dyDescent="0.25">
      <c r="B458" s="99">
        <v>454</v>
      </c>
      <c r="C458" s="100" t="s">
        <v>930</v>
      </c>
      <c r="D458" s="100">
        <v>114</v>
      </c>
      <c r="E458" s="100" t="s">
        <v>970</v>
      </c>
      <c r="F458" s="101">
        <v>4.3</v>
      </c>
      <c r="G458" s="101">
        <v>49020</v>
      </c>
      <c r="H458" s="100" t="s">
        <v>971</v>
      </c>
      <c r="I458" s="101">
        <v>2.08</v>
      </c>
      <c r="J458" s="101">
        <v>23788.38</v>
      </c>
      <c r="K458" s="100" t="s">
        <v>399</v>
      </c>
      <c r="L458" s="100">
        <v>25155.24</v>
      </c>
      <c r="M458" s="102">
        <v>5.5599999999999997E-2</v>
      </c>
      <c r="N458" s="100"/>
      <c r="O458" s="101">
        <f t="shared" si="43"/>
        <v>25231.62</v>
      </c>
      <c r="P458" s="101">
        <f t="shared" si="44"/>
        <v>48943.62</v>
      </c>
      <c r="Q458" s="101">
        <f t="shared" si="42"/>
        <v>23788.38</v>
      </c>
      <c r="R458" s="101">
        <f t="shared" si="45"/>
        <v>25155.24</v>
      </c>
      <c r="S458" s="101">
        <f t="shared" si="46"/>
        <v>0</v>
      </c>
      <c r="T458" s="103">
        <f t="shared" si="47"/>
        <v>0</v>
      </c>
    </row>
    <row r="459" spans="2:20" x14ac:dyDescent="0.25">
      <c r="B459" s="99">
        <v>455</v>
      </c>
      <c r="C459" s="100" t="s">
        <v>930</v>
      </c>
      <c r="D459" s="100">
        <v>122</v>
      </c>
      <c r="E459" s="100" t="s">
        <v>972</v>
      </c>
      <c r="F459" s="101">
        <v>4.05</v>
      </c>
      <c r="G459" s="101">
        <v>49410</v>
      </c>
      <c r="H459" s="100" t="s">
        <v>971</v>
      </c>
      <c r="I459" s="101">
        <v>2</v>
      </c>
      <c r="J459" s="101">
        <v>24481.74</v>
      </c>
      <c r="K459" s="100" t="s">
        <v>399</v>
      </c>
      <c r="L459" s="100">
        <v>24846.52</v>
      </c>
      <c r="M459" s="102">
        <v>4.8500000000000001E-2</v>
      </c>
      <c r="N459" s="100"/>
      <c r="O459" s="101">
        <f t="shared" si="43"/>
        <v>24928.26</v>
      </c>
      <c r="P459" s="101">
        <f t="shared" si="44"/>
        <v>49328.26</v>
      </c>
      <c r="Q459" s="101">
        <f t="shared" si="42"/>
        <v>24481.74</v>
      </c>
      <c r="R459" s="101">
        <f t="shared" si="45"/>
        <v>24846.52</v>
      </c>
      <c r="S459" s="101">
        <f t="shared" si="46"/>
        <v>0</v>
      </c>
      <c r="T459" s="103">
        <f t="shared" si="47"/>
        <v>0</v>
      </c>
    </row>
    <row r="460" spans="2:20" x14ac:dyDescent="0.25">
      <c r="B460" s="99">
        <v>456</v>
      </c>
      <c r="C460" s="100" t="s">
        <v>930</v>
      </c>
      <c r="D460" s="100">
        <v>126</v>
      </c>
      <c r="E460" s="100" t="s">
        <v>973</v>
      </c>
      <c r="F460" s="101">
        <v>3.9</v>
      </c>
      <c r="G460" s="101">
        <v>49140</v>
      </c>
      <c r="H460" s="100" t="s">
        <v>974</v>
      </c>
      <c r="I460" s="101">
        <v>1.91</v>
      </c>
      <c r="J460" s="101">
        <v>24150.42</v>
      </c>
      <c r="K460" s="100" t="s">
        <v>399</v>
      </c>
      <c r="L460" s="100">
        <v>24905.16</v>
      </c>
      <c r="M460" s="102">
        <v>5.0599999999999999E-2</v>
      </c>
      <c r="N460" s="100"/>
      <c r="O460" s="101">
        <f t="shared" si="43"/>
        <v>24989.58</v>
      </c>
      <c r="P460" s="101">
        <f t="shared" si="44"/>
        <v>49055.58</v>
      </c>
      <c r="Q460" s="101">
        <f t="shared" si="42"/>
        <v>24150.42</v>
      </c>
      <c r="R460" s="101">
        <f t="shared" si="45"/>
        <v>24905.160000000003</v>
      </c>
      <c r="S460" s="101">
        <f t="shared" si="46"/>
        <v>0</v>
      </c>
      <c r="T460" s="103">
        <f t="shared" si="47"/>
        <v>0</v>
      </c>
    </row>
    <row r="461" spans="2:20" x14ac:dyDescent="0.25">
      <c r="B461" s="99">
        <v>457</v>
      </c>
      <c r="C461" s="100" t="s">
        <v>930</v>
      </c>
      <c r="D461" s="100">
        <v>107</v>
      </c>
      <c r="E461" s="100" t="s">
        <v>981</v>
      </c>
      <c r="F461" s="101">
        <v>4.5999999999999996</v>
      </c>
      <c r="G461" s="101">
        <v>49220</v>
      </c>
      <c r="H461" s="100" t="s">
        <v>982</v>
      </c>
      <c r="I461" s="101">
        <v>2.14</v>
      </c>
      <c r="J461" s="101">
        <v>22969.69</v>
      </c>
      <c r="K461" s="100" t="s">
        <v>399</v>
      </c>
      <c r="L461" s="100">
        <v>26178.62</v>
      </c>
      <c r="M461" s="102">
        <v>5.91E-2</v>
      </c>
      <c r="N461" s="100"/>
      <c r="O461" s="101">
        <f t="shared" si="43"/>
        <v>26250.31</v>
      </c>
      <c r="P461" s="101">
        <f t="shared" si="44"/>
        <v>49148.31</v>
      </c>
      <c r="Q461" s="101">
        <f t="shared" si="42"/>
        <v>22969.69</v>
      </c>
      <c r="R461" s="101">
        <f t="shared" si="45"/>
        <v>26178.62</v>
      </c>
      <c r="S461" s="101">
        <f t="shared" si="46"/>
        <v>0</v>
      </c>
      <c r="T461" s="103">
        <f t="shared" si="47"/>
        <v>0</v>
      </c>
    </row>
    <row r="462" spans="2:20" x14ac:dyDescent="0.25">
      <c r="B462" s="99">
        <v>458</v>
      </c>
      <c r="C462" s="100" t="s">
        <v>581</v>
      </c>
      <c r="D462" s="100">
        <v>126</v>
      </c>
      <c r="E462" s="100" t="s">
        <v>983</v>
      </c>
      <c r="F462" s="101">
        <v>4.05</v>
      </c>
      <c r="G462" s="101">
        <v>51030</v>
      </c>
      <c r="H462" s="100" t="s">
        <v>984</v>
      </c>
      <c r="I462" s="101">
        <v>1.94</v>
      </c>
      <c r="J462" s="101">
        <v>24528.42</v>
      </c>
      <c r="K462" s="100" t="s">
        <v>399</v>
      </c>
      <c r="L462" s="100">
        <v>26417.16</v>
      </c>
      <c r="M462" s="102">
        <v>7.4999999999999997E-2</v>
      </c>
      <c r="N462" s="100"/>
      <c r="O462" s="101">
        <f t="shared" si="43"/>
        <v>26501.58</v>
      </c>
      <c r="P462" s="101">
        <f t="shared" si="44"/>
        <v>50945.579999999994</v>
      </c>
      <c r="Q462" s="101">
        <f t="shared" si="42"/>
        <v>24528.42</v>
      </c>
      <c r="R462" s="101">
        <f t="shared" si="45"/>
        <v>26417.159999999996</v>
      </c>
      <c r="S462" s="101">
        <f t="shared" si="46"/>
        <v>0</v>
      </c>
      <c r="T462" s="103">
        <f t="shared" si="47"/>
        <v>0</v>
      </c>
    </row>
    <row r="463" spans="2:20" x14ac:dyDescent="0.25">
      <c r="B463" s="99">
        <v>459</v>
      </c>
      <c r="C463" s="100" t="s">
        <v>993</v>
      </c>
      <c r="D463" s="100">
        <v>81</v>
      </c>
      <c r="E463" s="100" t="s">
        <v>994</v>
      </c>
      <c r="F463" s="101">
        <v>5.4</v>
      </c>
      <c r="G463" s="101">
        <v>43740</v>
      </c>
      <c r="H463" s="100" t="s">
        <v>995</v>
      </c>
      <c r="I463" s="101">
        <v>2.5499999999999998</v>
      </c>
      <c r="J463" s="101">
        <v>20709.27</v>
      </c>
      <c r="K463" s="100" t="s">
        <v>399</v>
      </c>
      <c r="L463" s="100">
        <v>22976.46</v>
      </c>
      <c r="M463" s="102">
        <v>5.7200000000000001E-2</v>
      </c>
      <c r="N463" s="100"/>
      <c r="O463" s="101">
        <f t="shared" si="43"/>
        <v>23030.73</v>
      </c>
      <c r="P463" s="101">
        <f t="shared" si="44"/>
        <v>43685.73</v>
      </c>
      <c r="Q463" s="101">
        <f t="shared" si="42"/>
        <v>20709.27</v>
      </c>
      <c r="R463" s="101">
        <f t="shared" si="45"/>
        <v>22976.460000000003</v>
      </c>
      <c r="S463" s="101">
        <f t="shared" si="46"/>
        <v>0</v>
      </c>
      <c r="T463" s="103">
        <f t="shared" si="47"/>
        <v>0</v>
      </c>
    </row>
    <row r="464" spans="2:20" x14ac:dyDescent="0.25">
      <c r="B464" s="99">
        <v>460</v>
      </c>
      <c r="C464" s="100" t="s">
        <v>996</v>
      </c>
      <c r="D464" s="100">
        <v>53</v>
      </c>
      <c r="E464" s="100" t="s">
        <v>997</v>
      </c>
      <c r="F464" s="101">
        <v>8.3000000000000007</v>
      </c>
      <c r="G464" s="101">
        <v>43990</v>
      </c>
      <c r="H464" s="100" t="s">
        <v>995</v>
      </c>
      <c r="I464" s="101">
        <v>3.95</v>
      </c>
      <c r="J464" s="101">
        <v>20970.509999999998</v>
      </c>
      <c r="K464" s="100" t="s">
        <v>399</v>
      </c>
      <c r="L464" s="100">
        <v>22983.98</v>
      </c>
      <c r="M464" s="102">
        <v>5.6500000000000002E-2</v>
      </c>
      <c r="N464" s="100"/>
      <c r="O464" s="101">
        <f t="shared" si="43"/>
        <v>23019.49</v>
      </c>
      <c r="P464" s="101">
        <f t="shared" si="44"/>
        <v>43954.49</v>
      </c>
      <c r="Q464" s="101">
        <f t="shared" si="42"/>
        <v>20970.510000000002</v>
      </c>
      <c r="R464" s="101">
        <f t="shared" si="45"/>
        <v>22983.979999999996</v>
      </c>
      <c r="S464" s="101">
        <f t="shared" si="46"/>
        <v>0</v>
      </c>
      <c r="T464" s="103">
        <f t="shared" si="47"/>
        <v>0</v>
      </c>
    </row>
    <row r="465" spans="2:20" x14ac:dyDescent="0.25">
      <c r="B465" s="99">
        <v>461</v>
      </c>
      <c r="C465" s="100" t="s">
        <v>996</v>
      </c>
      <c r="D465" s="100">
        <v>54</v>
      </c>
      <c r="E465" s="100" t="s">
        <v>998</v>
      </c>
      <c r="F465" s="101">
        <v>8.3000000000000007</v>
      </c>
      <c r="G465" s="101">
        <v>44820</v>
      </c>
      <c r="H465" s="100" t="s">
        <v>995</v>
      </c>
      <c r="I465" s="101">
        <v>4.1500000000000004</v>
      </c>
      <c r="J465" s="101">
        <v>22446.18</v>
      </c>
      <c r="K465" s="100" t="s">
        <v>399</v>
      </c>
      <c r="L465" s="100">
        <v>22337.64</v>
      </c>
      <c r="M465" s="102">
        <v>5.3199999999999997E-2</v>
      </c>
      <c r="N465" s="100"/>
      <c r="O465" s="101">
        <f t="shared" si="43"/>
        <v>22373.82</v>
      </c>
      <c r="P465" s="101">
        <f t="shared" si="44"/>
        <v>44783.820000000007</v>
      </c>
      <c r="Q465" s="101">
        <f t="shared" si="42"/>
        <v>22446.180000000004</v>
      </c>
      <c r="R465" s="101">
        <f t="shared" si="45"/>
        <v>22337.640000000003</v>
      </c>
      <c r="S465" s="101">
        <f t="shared" si="46"/>
        <v>0</v>
      </c>
      <c r="T465" s="103">
        <f t="shared" si="47"/>
        <v>0</v>
      </c>
    </row>
    <row r="466" spans="2:20" x14ac:dyDescent="0.25">
      <c r="B466" s="99">
        <v>462</v>
      </c>
      <c r="C466" s="100" t="s">
        <v>993</v>
      </c>
      <c r="D466" s="100">
        <v>79</v>
      </c>
      <c r="E466" s="100" t="s">
        <v>999</v>
      </c>
      <c r="F466" s="101">
        <v>5.6</v>
      </c>
      <c r="G466" s="101">
        <v>44240</v>
      </c>
      <c r="H466" s="100" t="s">
        <v>1000</v>
      </c>
      <c r="I466" s="101">
        <v>2.65</v>
      </c>
      <c r="J466" s="101">
        <v>20987.93</v>
      </c>
      <c r="K466" s="100" t="s">
        <v>399</v>
      </c>
      <c r="L466" s="100">
        <v>23199.14</v>
      </c>
      <c r="M466" s="102">
        <v>5.6599999999999998E-2</v>
      </c>
      <c r="N466" s="100"/>
      <c r="O466" s="101">
        <f t="shared" si="43"/>
        <v>23252.07</v>
      </c>
      <c r="P466" s="101">
        <f t="shared" si="44"/>
        <v>44187.07</v>
      </c>
      <c r="Q466" s="101">
        <f t="shared" si="42"/>
        <v>20987.93</v>
      </c>
      <c r="R466" s="101">
        <f t="shared" si="45"/>
        <v>23199.14</v>
      </c>
      <c r="S466" s="101">
        <f t="shared" si="46"/>
        <v>0</v>
      </c>
      <c r="T466" s="103">
        <f t="shared" si="47"/>
        <v>0</v>
      </c>
    </row>
    <row r="467" spans="2:20" x14ac:dyDescent="0.25">
      <c r="B467" s="99">
        <v>463</v>
      </c>
      <c r="C467" s="100" t="s">
        <v>996</v>
      </c>
      <c r="D467" s="100">
        <v>61</v>
      </c>
      <c r="E467" s="100" t="s">
        <v>1001</v>
      </c>
      <c r="F467" s="101">
        <v>7.35</v>
      </c>
      <c r="G467" s="101">
        <v>44835</v>
      </c>
      <c r="H467" s="100" t="s">
        <v>1002</v>
      </c>
      <c r="I467" s="101">
        <v>3.55</v>
      </c>
      <c r="J467" s="101">
        <v>21695.87</v>
      </c>
      <c r="K467" s="100" t="s">
        <v>399</v>
      </c>
      <c r="L467" s="100">
        <v>23098.26</v>
      </c>
      <c r="M467" s="102">
        <v>4.9399999999999999E-2</v>
      </c>
      <c r="N467" s="100"/>
      <c r="O467" s="101">
        <f t="shared" si="43"/>
        <v>23139.13</v>
      </c>
      <c r="P467" s="101">
        <f t="shared" si="44"/>
        <v>44794.13</v>
      </c>
      <c r="Q467" s="101">
        <f t="shared" si="42"/>
        <v>21695.87</v>
      </c>
      <c r="R467" s="101">
        <f t="shared" si="45"/>
        <v>23098.26</v>
      </c>
      <c r="S467" s="101">
        <f t="shared" si="46"/>
        <v>0</v>
      </c>
      <c r="T467" s="103">
        <f t="shared" si="47"/>
        <v>0</v>
      </c>
    </row>
    <row r="468" spans="2:20" x14ac:dyDescent="0.25">
      <c r="B468" s="99">
        <v>464</v>
      </c>
      <c r="C468" s="100" t="s">
        <v>993</v>
      </c>
      <c r="D468" s="100">
        <v>81</v>
      </c>
      <c r="E468" s="100" t="s">
        <v>1003</v>
      </c>
      <c r="F468" s="101">
        <v>5.9</v>
      </c>
      <c r="G468" s="101">
        <v>47790</v>
      </c>
      <c r="H468" s="100" t="s">
        <v>1004</v>
      </c>
      <c r="I468" s="101">
        <v>2.95</v>
      </c>
      <c r="J468" s="101">
        <v>23949.27</v>
      </c>
      <c r="K468" s="100" t="s">
        <v>399</v>
      </c>
      <c r="L468" s="100">
        <v>23786.46</v>
      </c>
      <c r="M468" s="102">
        <v>5.4300000000000001E-2</v>
      </c>
      <c r="N468" s="100"/>
      <c r="O468" s="101">
        <f t="shared" si="43"/>
        <v>23840.73</v>
      </c>
      <c r="P468" s="101">
        <f t="shared" si="44"/>
        <v>47735.73</v>
      </c>
      <c r="Q468" s="101">
        <f t="shared" si="42"/>
        <v>23949.27</v>
      </c>
      <c r="R468" s="101">
        <f t="shared" si="45"/>
        <v>23786.460000000003</v>
      </c>
      <c r="S468" s="101">
        <f t="shared" si="46"/>
        <v>0</v>
      </c>
      <c r="T468" s="103">
        <f t="shared" si="47"/>
        <v>0</v>
      </c>
    </row>
    <row r="469" spans="2:20" x14ac:dyDescent="0.25">
      <c r="B469" s="99">
        <v>465</v>
      </c>
      <c r="C469" s="100" t="s">
        <v>918</v>
      </c>
      <c r="D469" s="100">
        <v>29</v>
      </c>
      <c r="E469" s="100" t="s">
        <v>1005</v>
      </c>
      <c r="F469" s="101">
        <v>15.2</v>
      </c>
      <c r="G469" s="101">
        <v>44080</v>
      </c>
      <c r="H469" s="100" t="s">
        <v>1006</v>
      </c>
      <c r="I469" s="101">
        <v>7.45</v>
      </c>
      <c r="J469" s="101">
        <v>21624.43</v>
      </c>
      <c r="K469" s="100" t="s">
        <v>399</v>
      </c>
      <c r="L469" s="100">
        <v>22436.14</v>
      </c>
      <c r="M469" s="102">
        <v>0.05</v>
      </c>
      <c r="N469" s="100"/>
      <c r="O469" s="101">
        <f t="shared" si="43"/>
        <v>22455.57</v>
      </c>
      <c r="P469" s="101">
        <f t="shared" si="44"/>
        <v>44060.569999999992</v>
      </c>
      <c r="Q469" s="101">
        <f t="shared" si="42"/>
        <v>21624.43</v>
      </c>
      <c r="R469" s="101">
        <f t="shared" si="45"/>
        <v>22436.139999999992</v>
      </c>
      <c r="S469" s="101">
        <f t="shared" si="46"/>
        <v>0</v>
      </c>
      <c r="T469" s="103">
        <f t="shared" si="47"/>
        <v>0</v>
      </c>
    </row>
    <row r="470" spans="2:20" x14ac:dyDescent="0.25">
      <c r="B470" s="99">
        <v>466</v>
      </c>
      <c r="C470" s="100" t="s">
        <v>993</v>
      </c>
      <c r="D470" s="100">
        <v>84</v>
      </c>
      <c r="E470" s="100" t="s">
        <v>1007</v>
      </c>
      <c r="F470" s="101">
        <v>5.4</v>
      </c>
      <c r="G470" s="101">
        <v>45360</v>
      </c>
      <c r="H470" s="100" t="s">
        <v>1008</v>
      </c>
      <c r="I470" s="101">
        <v>2.6</v>
      </c>
      <c r="J470" s="101">
        <v>21896.28</v>
      </c>
      <c r="K470" s="100" t="s">
        <v>399</v>
      </c>
      <c r="L470" s="100">
        <v>23407.439999999999</v>
      </c>
      <c r="M470" s="102">
        <v>4.8800000000000003E-2</v>
      </c>
      <c r="N470" s="100"/>
      <c r="O470" s="101">
        <f t="shared" si="43"/>
        <v>23463.72</v>
      </c>
      <c r="P470" s="101">
        <f t="shared" si="44"/>
        <v>45303.72</v>
      </c>
      <c r="Q470" s="101">
        <f t="shared" si="42"/>
        <v>21896.28</v>
      </c>
      <c r="R470" s="101">
        <f t="shared" si="45"/>
        <v>23407.440000000002</v>
      </c>
      <c r="S470" s="101">
        <f t="shared" si="46"/>
        <v>0</v>
      </c>
      <c r="T470" s="103">
        <f t="shared" si="47"/>
        <v>0</v>
      </c>
    </row>
    <row r="471" spans="2:20" x14ac:dyDescent="0.25">
      <c r="B471" s="99">
        <v>467</v>
      </c>
      <c r="C471" s="100" t="s">
        <v>993</v>
      </c>
      <c r="D471" s="100">
        <v>80</v>
      </c>
      <c r="E471" s="100" t="s">
        <v>1009</v>
      </c>
      <c r="F471" s="101">
        <v>5.8</v>
      </c>
      <c r="G471" s="101">
        <v>46400</v>
      </c>
      <c r="H471" s="100" t="s">
        <v>1010</v>
      </c>
      <c r="I471" s="101">
        <v>2.6</v>
      </c>
      <c r="J471" s="101">
        <v>20853.599999999999</v>
      </c>
      <c r="K471" s="100" t="s">
        <v>399</v>
      </c>
      <c r="L471" s="100">
        <v>25492.799999999999</v>
      </c>
      <c r="M471" s="102">
        <v>5.16E-2</v>
      </c>
      <c r="N471" s="100"/>
      <c r="O471" s="101">
        <f t="shared" si="43"/>
        <v>25546.400000000001</v>
      </c>
      <c r="P471" s="101">
        <f t="shared" si="44"/>
        <v>46346.400000000001</v>
      </c>
      <c r="Q471" s="101">
        <f t="shared" si="42"/>
        <v>20853.599999999999</v>
      </c>
      <c r="R471" s="101">
        <f t="shared" si="45"/>
        <v>25492.800000000003</v>
      </c>
      <c r="S471" s="101">
        <f t="shared" si="46"/>
        <v>0</v>
      </c>
      <c r="T471" s="103">
        <f t="shared" si="47"/>
        <v>0</v>
      </c>
    </row>
    <row r="472" spans="2:20" x14ac:dyDescent="0.25">
      <c r="B472" s="99">
        <v>468</v>
      </c>
      <c r="C472" s="100" t="s">
        <v>918</v>
      </c>
      <c r="D472" s="100">
        <v>31</v>
      </c>
      <c r="E472" s="100" t="s">
        <v>986</v>
      </c>
      <c r="F472" s="101">
        <v>15.25</v>
      </c>
      <c r="G472" s="101">
        <v>47275</v>
      </c>
      <c r="H472" s="100" t="s">
        <v>1011</v>
      </c>
      <c r="I472" s="101">
        <v>7.45</v>
      </c>
      <c r="J472" s="101">
        <v>23115.77</v>
      </c>
      <c r="K472" s="100" t="s">
        <v>399</v>
      </c>
      <c r="L472" s="100">
        <v>24138.46</v>
      </c>
      <c r="M472" s="102">
        <v>4.87E-2</v>
      </c>
      <c r="N472" s="100"/>
      <c r="O472" s="101">
        <f t="shared" si="43"/>
        <v>24159.23</v>
      </c>
      <c r="P472" s="101">
        <f t="shared" si="44"/>
        <v>47254.23</v>
      </c>
      <c r="Q472" s="101">
        <f t="shared" si="42"/>
        <v>23115.77</v>
      </c>
      <c r="R472" s="101">
        <f t="shared" si="45"/>
        <v>24138.460000000003</v>
      </c>
      <c r="S472" s="101">
        <f t="shared" si="46"/>
        <v>0</v>
      </c>
      <c r="T472" s="103">
        <f t="shared" si="47"/>
        <v>0</v>
      </c>
    </row>
    <row r="473" spans="2:20" x14ac:dyDescent="0.25">
      <c r="B473" s="99">
        <v>469</v>
      </c>
      <c r="C473" s="100" t="s">
        <v>943</v>
      </c>
      <c r="D473" s="100">
        <v>28</v>
      </c>
      <c r="E473" s="100" t="s">
        <v>1012</v>
      </c>
      <c r="F473" s="101">
        <v>15.25</v>
      </c>
      <c r="G473" s="101">
        <v>42700</v>
      </c>
      <c r="H473" s="100" t="s">
        <v>1013</v>
      </c>
      <c r="I473" s="101">
        <v>7.6</v>
      </c>
      <c r="J473" s="101">
        <v>21298.76</v>
      </c>
      <c r="K473" s="100" t="s">
        <v>399</v>
      </c>
      <c r="L473" s="100">
        <v>21382.48</v>
      </c>
      <c r="M473" s="102">
        <v>4.9299999999999997E-2</v>
      </c>
      <c r="N473" s="100"/>
      <c r="O473" s="101">
        <f t="shared" si="43"/>
        <v>21401.24</v>
      </c>
      <c r="P473" s="101">
        <f t="shared" si="44"/>
        <v>42681.24</v>
      </c>
      <c r="Q473" s="101">
        <f t="shared" ref="Q473:Q536" si="48">I473*D473*100 + D473*0.67</f>
        <v>21298.76</v>
      </c>
      <c r="R473" s="101">
        <f t="shared" si="45"/>
        <v>21382.48</v>
      </c>
      <c r="S473" s="101">
        <f t="shared" si="46"/>
        <v>0</v>
      </c>
      <c r="T473" s="103">
        <f t="shared" si="47"/>
        <v>0</v>
      </c>
    </row>
    <row r="474" spans="2:20" x14ac:dyDescent="0.25">
      <c r="B474" s="99">
        <v>470</v>
      </c>
      <c r="C474" s="100" t="s">
        <v>996</v>
      </c>
      <c r="D474" s="100">
        <v>54</v>
      </c>
      <c r="E474" s="100" t="s">
        <v>1014</v>
      </c>
      <c r="F474" s="101">
        <v>8.15</v>
      </c>
      <c r="G474" s="101">
        <v>44010</v>
      </c>
      <c r="H474" s="100" t="s">
        <v>1015</v>
      </c>
      <c r="I474" s="101">
        <v>3.45</v>
      </c>
      <c r="J474" s="101">
        <v>18666.18</v>
      </c>
      <c r="K474" s="100" t="s">
        <v>399</v>
      </c>
      <c r="L474" s="100">
        <v>25307.64</v>
      </c>
      <c r="M474" s="102">
        <v>5.7299999999999997E-2</v>
      </c>
      <c r="N474" s="100"/>
      <c r="O474" s="101">
        <f t="shared" si="43"/>
        <v>25343.82</v>
      </c>
      <c r="P474" s="101">
        <f t="shared" si="44"/>
        <v>43973.82</v>
      </c>
      <c r="Q474" s="101">
        <f t="shared" si="48"/>
        <v>18666.18</v>
      </c>
      <c r="R474" s="101">
        <f t="shared" si="45"/>
        <v>25307.64</v>
      </c>
      <c r="S474" s="101">
        <f t="shared" si="46"/>
        <v>0</v>
      </c>
      <c r="T474" s="103">
        <f t="shared" si="47"/>
        <v>0</v>
      </c>
    </row>
    <row r="475" spans="2:20" x14ac:dyDescent="0.25">
      <c r="B475" s="99">
        <v>471</v>
      </c>
      <c r="C475" s="100" t="s">
        <v>930</v>
      </c>
      <c r="D475" s="100">
        <v>73</v>
      </c>
      <c r="E475" s="100" t="s">
        <v>989</v>
      </c>
      <c r="F475" s="101">
        <v>6.15</v>
      </c>
      <c r="G475" s="101">
        <v>44895</v>
      </c>
      <c r="H475" s="100" t="s">
        <v>1016</v>
      </c>
      <c r="I475" s="101">
        <v>3.05</v>
      </c>
      <c r="J475" s="101">
        <v>22313.91</v>
      </c>
      <c r="K475" s="100" t="s">
        <v>399</v>
      </c>
      <c r="L475" s="100">
        <v>22532.18</v>
      </c>
      <c r="M475" s="102">
        <v>7.0400000000000004E-2</v>
      </c>
      <c r="N475" s="100"/>
      <c r="O475" s="101">
        <f t="shared" si="43"/>
        <v>22581.09</v>
      </c>
      <c r="P475" s="101">
        <f t="shared" si="44"/>
        <v>44846.090000000004</v>
      </c>
      <c r="Q475" s="101">
        <f t="shared" si="48"/>
        <v>22313.909999999996</v>
      </c>
      <c r="R475" s="101">
        <f t="shared" si="45"/>
        <v>22532.180000000008</v>
      </c>
      <c r="S475" s="101">
        <f t="shared" si="46"/>
        <v>0</v>
      </c>
      <c r="T475" s="103">
        <f t="shared" si="47"/>
        <v>0</v>
      </c>
    </row>
    <row r="476" spans="2:20" x14ac:dyDescent="0.25">
      <c r="B476" s="99">
        <v>472</v>
      </c>
      <c r="C476" s="100" t="s">
        <v>930</v>
      </c>
      <c r="D476" s="100">
        <v>76</v>
      </c>
      <c r="E476" s="100" t="s">
        <v>1019</v>
      </c>
      <c r="F476" s="101">
        <v>6.1</v>
      </c>
      <c r="G476" s="101">
        <v>46360</v>
      </c>
      <c r="H476" s="100" t="s">
        <v>1020</v>
      </c>
      <c r="I476" s="101">
        <v>3.05</v>
      </c>
      <c r="J476" s="101">
        <v>23230.92</v>
      </c>
      <c r="K476" s="100" t="s">
        <v>399</v>
      </c>
      <c r="L476" s="100">
        <v>23078.16</v>
      </c>
      <c r="M476" s="102">
        <v>6.7599999999999993E-2</v>
      </c>
      <c r="N476" s="100"/>
      <c r="O476" s="101">
        <f t="shared" si="43"/>
        <v>23129.08</v>
      </c>
      <c r="P476" s="101">
        <f t="shared" si="44"/>
        <v>46309.08</v>
      </c>
      <c r="Q476" s="101">
        <f t="shared" si="48"/>
        <v>23230.92</v>
      </c>
      <c r="R476" s="101">
        <f t="shared" si="45"/>
        <v>23078.160000000003</v>
      </c>
      <c r="S476" s="101">
        <f t="shared" si="46"/>
        <v>0</v>
      </c>
      <c r="T476" s="103">
        <f t="shared" si="47"/>
        <v>0</v>
      </c>
    </row>
    <row r="477" spans="2:20" x14ac:dyDescent="0.25">
      <c r="B477" s="99">
        <v>473</v>
      </c>
      <c r="C477" s="100" t="s">
        <v>996</v>
      </c>
      <c r="D477" s="100">
        <v>49</v>
      </c>
      <c r="E477" s="100" t="s">
        <v>1006</v>
      </c>
      <c r="F477" s="101">
        <v>9.8000000000000007</v>
      </c>
      <c r="G477" s="101">
        <v>48020</v>
      </c>
      <c r="H477" s="100" t="s">
        <v>1020</v>
      </c>
      <c r="I477" s="101">
        <v>4.9000000000000004</v>
      </c>
      <c r="J477" s="101">
        <v>24042.83</v>
      </c>
      <c r="K477" s="100" t="s">
        <v>399</v>
      </c>
      <c r="L477" s="100">
        <v>23944.34</v>
      </c>
      <c r="M477" s="102">
        <v>5.67E-2</v>
      </c>
      <c r="N477" s="100"/>
      <c r="O477" s="101">
        <f t="shared" si="43"/>
        <v>23977.17</v>
      </c>
      <c r="P477" s="101">
        <f t="shared" si="44"/>
        <v>47987.170000000006</v>
      </c>
      <c r="Q477" s="101">
        <f t="shared" si="48"/>
        <v>24042.830000000005</v>
      </c>
      <c r="R477" s="101">
        <f t="shared" si="45"/>
        <v>23944.34</v>
      </c>
      <c r="S477" s="101">
        <f t="shared" si="46"/>
        <v>0</v>
      </c>
      <c r="T477" s="103">
        <f t="shared" si="47"/>
        <v>0</v>
      </c>
    </row>
    <row r="478" spans="2:20" x14ac:dyDescent="0.25">
      <c r="B478" s="99">
        <v>474</v>
      </c>
      <c r="C478" s="100" t="s">
        <v>943</v>
      </c>
      <c r="D478" s="100">
        <v>28</v>
      </c>
      <c r="E478" s="100" t="s">
        <v>1021</v>
      </c>
      <c r="F478" s="101">
        <v>15.65</v>
      </c>
      <c r="G478" s="101">
        <v>43820</v>
      </c>
      <c r="H478" s="100" t="s">
        <v>1022</v>
      </c>
      <c r="I478" s="101">
        <v>5.65</v>
      </c>
      <c r="J478" s="101">
        <v>15838.76</v>
      </c>
      <c r="K478" s="100" t="s">
        <v>399</v>
      </c>
      <c r="L478" s="100">
        <v>27962.48</v>
      </c>
      <c r="M478" s="102">
        <v>6.2700000000000006E-2</v>
      </c>
      <c r="N478" s="100"/>
      <c r="O478" s="101">
        <f t="shared" si="43"/>
        <v>27981.239999999998</v>
      </c>
      <c r="P478" s="101">
        <f t="shared" si="44"/>
        <v>43801.24</v>
      </c>
      <c r="Q478" s="101">
        <f t="shared" si="48"/>
        <v>15838.760000000002</v>
      </c>
      <c r="R478" s="101">
        <f t="shared" si="45"/>
        <v>27962.479999999996</v>
      </c>
      <c r="S478" s="101">
        <f t="shared" si="46"/>
        <v>0</v>
      </c>
      <c r="T478" s="103">
        <f t="shared" si="47"/>
        <v>0</v>
      </c>
    </row>
    <row r="479" spans="2:20" x14ac:dyDescent="0.25">
      <c r="B479" s="99">
        <v>475</v>
      </c>
      <c r="C479" s="100" t="s">
        <v>930</v>
      </c>
      <c r="D479" s="100">
        <v>90</v>
      </c>
      <c r="E479" s="100" t="s">
        <v>1023</v>
      </c>
      <c r="F479" s="101">
        <v>5.15</v>
      </c>
      <c r="G479" s="101">
        <v>46350</v>
      </c>
      <c r="H479" s="100" t="s">
        <v>1024</v>
      </c>
      <c r="I479" s="101">
        <v>2.5</v>
      </c>
      <c r="J479" s="101">
        <v>22560.3</v>
      </c>
      <c r="K479" s="100" t="s">
        <v>399</v>
      </c>
      <c r="L479" s="100">
        <v>23729.4</v>
      </c>
      <c r="M479" s="102">
        <v>6.0100000000000001E-2</v>
      </c>
      <c r="N479" s="100"/>
      <c r="O479" s="101">
        <f t="shared" si="43"/>
        <v>23789.7</v>
      </c>
      <c r="P479" s="101">
        <f t="shared" si="44"/>
        <v>46289.700000000004</v>
      </c>
      <c r="Q479" s="101">
        <f t="shared" si="48"/>
        <v>22560.3</v>
      </c>
      <c r="R479" s="101">
        <f t="shared" si="45"/>
        <v>23729.400000000005</v>
      </c>
      <c r="S479" s="101">
        <f t="shared" si="46"/>
        <v>0</v>
      </c>
      <c r="T479" s="103">
        <f t="shared" si="47"/>
        <v>0</v>
      </c>
    </row>
    <row r="480" spans="2:20" x14ac:dyDescent="0.25">
      <c r="B480" s="99">
        <v>476</v>
      </c>
      <c r="C480" s="100" t="s">
        <v>930</v>
      </c>
      <c r="D480" s="100">
        <v>77</v>
      </c>
      <c r="E480" s="100" t="s">
        <v>1025</v>
      </c>
      <c r="F480" s="101">
        <v>6.1</v>
      </c>
      <c r="G480" s="101">
        <v>46970</v>
      </c>
      <c r="H480" s="100" t="s">
        <v>1026</v>
      </c>
      <c r="I480" s="101">
        <v>2.88</v>
      </c>
      <c r="J480" s="101">
        <v>22227.59</v>
      </c>
      <c r="K480" s="100" t="s">
        <v>399</v>
      </c>
      <c r="L480" s="100">
        <v>24690.82</v>
      </c>
      <c r="M480" s="102">
        <v>6.4299999999999996E-2</v>
      </c>
      <c r="N480" s="100"/>
      <c r="O480" s="101">
        <f t="shared" si="43"/>
        <v>24742.41</v>
      </c>
      <c r="P480" s="101">
        <f t="shared" si="44"/>
        <v>46918.41</v>
      </c>
      <c r="Q480" s="101">
        <f t="shared" si="48"/>
        <v>22227.59</v>
      </c>
      <c r="R480" s="101">
        <f t="shared" si="45"/>
        <v>24690.820000000003</v>
      </c>
      <c r="S480" s="101">
        <f t="shared" si="46"/>
        <v>0</v>
      </c>
      <c r="T480" s="103">
        <f t="shared" si="47"/>
        <v>0</v>
      </c>
    </row>
    <row r="481" spans="2:20" x14ac:dyDescent="0.25">
      <c r="B481" s="99">
        <v>477</v>
      </c>
      <c r="C481" s="100" t="s">
        <v>930</v>
      </c>
      <c r="D481" s="100">
        <v>82</v>
      </c>
      <c r="E481" s="100" t="s">
        <v>1027</v>
      </c>
      <c r="F481" s="101">
        <v>5.7</v>
      </c>
      <c r="G481" s="101">
        <v>46740</v>
      </c>
      <c r="H481" s="100" t="s">
        <v>1026</v>
      </c>
      <c r="I481" s="101">
        <v>2.71</v>
      </c>
      <c r="J481" s="101">
        <v>22276.94</v>
      </c>
      <c r="K481" s="100" t="s">
        <v>399</v>
      </c>
      <c r="L481" s="100">
        <v>24408.12</v>
      </c>
      <c r="M481" s="102">
        <v>6.0400000000000002E-2</v>
      </c>
      <c r="N481" s="100"/>
      <c r="O481" s="101">
        <f t="shared" si="43"/>
        <v>24463.06</v>
      </c>
      <c r="P481" s="101">
        <f t="shared" si="44"/>
        <v>46685.06</v>
      </c>
      <c r="Q481" s="101">
        <f t="shared" si="48"/>
        <v>22276.94</v>
      </c>
      <c r="R481" s="101">
        <f t="shared" si="45"/>
        <v>24408.12</v>
      </c>
      <c r="S481" s="101">
        <f t="shared" si="46"/>
        <v>0</v>
      </c>
      <c r="T481" s="103">
        <f t="shared" si="47"/>
        <v>0</v>
      </c>
    </row>
    <row r="482" spans="2:20" x14ac:dyDescent="0.25">
      <c r="B482" s="99">
        <v>478</v>
      </c>
      <c r="C482" s="100" t="s">
        <v>930</v>
      </c>
      <c r="D482" s="100">
        <v>93</v>
      </c>
      <c r="E482" s="100" t="s">
        <v>1028</v>
      </c>
      <c r="F482" s="101">
        <v>5.0999999999999996</v>
      </c>
      <c r="G482" s="101">
        <v>47430</v>
      </c>
      <c r="H482" s="100" t="s">
        <v>1026</v>
      </c>
      <c r="I482" s="101">
        <v>2.5499999999999998</v>
      </c>
      <c r="J482" s="101">
        <v>23777.31</v>
      </c>
      <c r="K482" s="100" t="s">
        <v>399</v>
      </c>
      <c r="L482" s="100">
        <v>23590.38</v>
      </c>
      <c r="M482" s="102">
        <v>5.1900000000000002E-2</v>
      </c>
      <c r="N482" s="100"/>
      <c r="O482" s="101">
        <f t="shared" si="43"/>
        <v>23652.69</v>
      </c>
      <c r="P482" s="101">
        <f t="shared" si="44"/>
        <v>47367.689999999995</v>
      </c>
      <c r="Q482" s="101">
        <f t="shared" si="48"/>
        <v>23777.309999999998</v>
      </c>
      <c r="R482" s="101">
        <f t="shared" si="45"/>
        <v>23590.379999999997</v>
      </c>
      <c r="S482" s="101">
        <f t="shared" si="46"/>
        <v>0</v>
      </c>
      <c r="T482" s="103">
        <f t="shared" si="47"/>
        <v>0</v>
      </c>
    </row>
    <row r="483" spans="2:20" x14ac:dyDescent="0.25">
      <c r="B483" s="99">
        <v>479</v>
      </c>
      <c r="C483" s="100" t="s">
        <v>996</v>
      </c>
      <c r="D483" s="100">
        <v>59</v>
      </c>
      <c r="E483" s="100" t="s">
        <v>1008</v>
      </c>
      <c r="F483" s="101">
        <v>8.35</v>
      </c>
      <c r="G483" s="101">
        <v>49265</v>
      </c>
      <c r="H483" s="100" t="s">
        <v>1026</v>
      </c>
      <c r="I483" s="101">
        <v>3.65</v>
      </c>
      <c r="J483" s="101">
        <v>21574.53</v>
      </c>
      <c r="K483" s="100" t="s">
        <v>399</v>
      </c>
      <c r="L483" s="100">
        <v>27650.94</v>
      </c>
      <c r="M483" s="102">
        <v>5.4100000000000002E-2</v>
      </c>
      <c r="N483" s="100"/>
      <c r="O483" s="101">
        <f t="shared" si="43"/>
        <v>27690.47</v>
      </c>
      <c r="P483" s="101">
        <f t="shared" si="44"/>
        <v>49225.47</v>
      </c>
      <c r="Q483" s="101">
        <f t="shared" si="48"/>
        <v>21574.53</v>
      </c>
      <c r="R483" s="101">
        <f t="shared" si="45"/>
        <v>27650.940000000002</v>
      </c>
      <c r="S483" s="101">
        <f t="shared" si="46"/>
        <v>0</v>
      </c>
      <c r="T483" s="103">
        <f t="shared" si="47"/>
        <v>0</v>
      </c>
    </row>
    <row r="484" spans="2:20" x14ac:dyDescent="0.25">
      <c r="B484" s="99">
        <v>480</v>
      </c>
      <c r="C484" s="100" t="s">
        <v>996</v>
      </c>
      <c r="D484" s="100">
        <v>59</v>
      </c>
      <c r="E484" s="100" t="s">
        <v>1010</v>
      </c>
      <c r="F484" s="101">
        <v>8.3000000000000007</v>
      </c>
      <c r="G484" s="101">
        <v>48970</v>
      </c>
      <c r="H484" s="100" t="s">
        <v>1026</v>
      </c>
      <c r="I484" s="101">
        <v>3.5</v>
      </c>
      <c r="J484" s="101">
        <v>20689.53</v>
      </c>
      <c r="K484" s="100" t="s">
        <v>399</v>
      </c>
      <c r="L484" s="100">
        <v>28240.94</v>
      </c>
      <c r="M484" s="102">
        <v>5.5899999999999998E-2</v>
      </c>
      <c r="N484" s="100"/>
      <c r="O484" s="101">
        <f t="shared" si="43"/>
        <v>28280.47</v>
      </c>
      <c r="P484" s="101">
        <f t="shared" si="44"/>
        <v>48930.470000000008</v>
      </c>
      <c r="Q484" s="101">
        <f t="shared" si="48"/>
        <v>20689.53</v>
      </c>
      <c r="R484" s="101">
        <f t="shared" si="45"/>
        <v>28240.94000000001</v>
      </c>
      <c r="S484" s="101">
        <f t="shared" si="46"/>
        <v>0</v>
      </c>
      <c r="T484" s="103">
        <f t="shared" si="47"/>
        <v>0</v>
      </c>
    </row>
    <row r="485" spans="2:20" x14ac:dyDescent="0.25">
      <c r="B485" s="99">
        <v>481</v>
      </c>
      <c r="C485" s="100" t="s">
        <v>996</v>
      </c>
      <c r="D485" s="100">
        <v>63</v>
      </c>
      <c r="E485" s="100" t="s">
        <v>1011</v>
      </c>
      <c r="F485" s="101">
        <v>7.8</v>
      </c>
      <c r="G485" s="101">
        <v>49140</v>
      </c>
      <c r="H485" s="100" t="s">
        <v>1026</v>
      </c>
      <c r="I485" s="101">
        <v>3.35</v>
      </c>
      <c r="J485" s="101">
        <v>21147.21</v>
      </c>
      <c r="K485" s="100" t="s">
        <v>399</v>
      </c>
      <c r="L485" s="100">
        <v>27950.58</v>
      </c>
      <c r="M485" s="102">
        <v>5.21E-2</v>
      </c>
      <c r="N485" s="100"/>
      <c r="O485" s="101">
        <f t="shared" si="43"/>
        <v>27992.79</v>
      </c>
      <c r="P485" s="101">
        <f t="shared" si="44"/>
        <v>49097.79</v>
      </c>
      <c r="Q485" s="101">
        <f t="shared" si="48"/>
        <v>21147.21</v>
      </c>
      <c r="R485" s="101">
        <f t="shared" si="45"/>
        <v>27950.58</v>
      </c>
      <c r="S485" s="101">
        <f t="shared" si="46"/>
        <v>0</v>
      </c>
      <c r="T485" s="103">
        <f t="shared" si="47"/>
        <v>0</v>
      </c>
    </row>
    <row r="486" spans="2:20" x14ac:dyDescent="0.25">
      <c r="B486" s="99">
        <v>482</v>
      </c>
      <c r="C486" s="100" t="s">
        <v>996</v>
      </c>
      <c r="D486" s="100">
        <v>60</v>
      </c>
      <c r="E486" s="100" t="s">
        <v>1029</v>
      </c>
      <c r="F486" s="101">
        <v>8.35</v>
      </c>
      <c r="G486" s="101">
        <v>50100</v>
      </c>
      <c r="H486" s="100" t="s">
        <v>1026</v>
      </c>
      <c r="I486" s="101">
        <v>3.95</v>
      </c>
      <c r="J486" s="101">
        <v>23740.2</v>
      </c>
      <c r="K486" s="100" t="s">
        <v>399</v>
      </c>
      <c r="L486" s="100">
        <v>26319.599999999999</v>
      </c>
      <c r="M486" s="102">
        <v>4.9500000000000002E-2</v>
      </c>
      <c r="N486" s="100"/>
      <c r="O486" s="101">
        <f t="shared" si="43"/>
        <v>26359.8</v>
      </c>
      <c r="P486" s="101">
        <f t="shared" si="44"/>
        <v>50059.8</v>
      </c>
      <c r="Q486" s="101">
        <f t="shared" si="48"/>
        <v>23740.2</v>
      </c>
      <c r="R486" s="101">
        <f t="shared" si="45"/>
        <v>26319.600000000002</v>
      </c>
      <c r="S486" s="101">
        <f t="shared" si="46"/>
        <v>0</v>
      </c>
      <c r="T486" s="103">
        <f t="shared" si="47"/>
        <v>0</v>
      </c>
    </row>
    <row r="487" spans="2:20" x14ac:dyDescent="0.25">
      <c r="B487" s="99">
        <v>483</v>
      </c>
      <c r="C487" s="100" t="s">
        <v>996</v>
      </c>
      <c r="D487" s="100">
        <v>56</v>
      </c>
      <c r="E487" s="100" t="s">
        <v>1013</v>
      </c>
      <c r="F487" s="101">
        <v>8.9</v>
      </c>
      <c r="G487" s="101">
        <v>49840</v>
      </c>
      <c r="H487" s="100" t="s">
        <v>1026</v>
      </c>
      <c r="I487" s="101">
        <v>4.1500000000000004</v>
      </c>
      <c r="J487" s="101">
        <v>23277.52</v>
      </c>
      <c r="K487" s="100" t="s">
        <v>399</v>
      </c>
      <c r="L487" s="100">
        <v>26524.959999999999</v>
      </c>
      <c r="M487" s="102">
        <v>5.3199999999999997E-2</v>
      </c>
      <c r="N487" s="100"/>
      <c r="O487" s="101">
        <f t="shared" si="43"/>
        <v>26562.48</v>
      </c>
      <c r="P487" s="101">
        <f t="shared" si="44"/>
        <v>49802.48</v>
      </c>
      <c r="Q487" s="101">
        <f t="shared" si="48"/>
        <v>23277.520000000004</v>
      </c>
      <c r="R487" s="101">
        <f t="shared" si="45"/>
        <v>26524.959999999999</v>
      </c>
      <c r="S487" s="101">
        <f t="shared" si="46"/>
        <v>0</v>
      </c>
      <c r="T487" s="103">
        <f t="shared" si="47"/>
        <v>0</v>
      </c>
    </row>
    <row r="488" spans="2:20" x14ac:dyDescent="0.25">
      <c r="B488" s="99">
        <v>484</v>
      </c>
      <c r="C488" s="100" t="s">
        <v>943</v>
      </c>
      <c r="D488" s="100">
        <v>31</v>
      </c>
      <c r="E488" s="100" t="s">
        <v>1030</v>
      </c>
      <c r="F488" s="101">
        <v>15.65</v>
      </c>
      <c r="G488" s="101">
        <v>48515</v>
      </c>
      <c r="H488" s="100" t="s">
        <v>1026</v>
      </c>
      <c r="I488" s="101">
        <v>7.6</v>
      </c>
      <c r="J488" s="101">
        <v>23580.77</v>
      </c>
      <c r="K488" s="100" t="s">
        <v>399</v>
      </c>
      <c r="L488" s="100">
        <v>24913.46</v>
      </c>
      <c r="M488" s="102">
        <v>4.7500000000000001E-2</v>
      </c>
      <c r="N488" s="100"/>
      <c r="O488" s="101">
        <f t="shared" si="43"/>
        <v>24934.23</v>
      </c>
      <c r="P488" s="101">
        <f t="shared" si="44"/>
        <v>48494.23</v>
      </c>
      <c r="Q488" s="101">
        <f t="shared" si="48"/>
        <v>23580.77</v>
      </c>
      <c r="R488" s="101">
        <f t="shared" si="45"/>
        <v>24913.460000000003</v>
      </c>
      <c r="S488" s="101">
        <f t="shared" si="46"/>
        <v>0</v>
      </c>
      <c r="T488" s="103">
        <f t="shared" si="47"/>
        <v>0</v>
      </c>
    </row>
    <row r="489" spans="2:20" x14ac:dyDescent="0.25">
      <c r="B489" s="99">
        <v>485</v>
      </c>
      <c r="C489" s="100" t="s">
        <v>943</v>
      </c>
      <c r="D489" s="100">
        <v>32</v>
      </c>
      <c r="E489" s="100" t="s">
        <v>1031</v>
      </c>
      <c r="F489" s="101">
        <v>15.1</v>
      </c>
      <c r="G489" s="101">
        <v>48320</v>
      </c>
      <c r="H489" s="100" t="s">
        <v>1026</v>
      </c>
      <c r="I489" s="101">
        <v>6.8</v>
      </c>
      <c r="J489" s="101">
        <v>21781.439999999999</v>
      </c>
      <c r="K489" s="100" t="s">
        <v>399</v>
      </c>
      <c r="L489" s="100">
        <v>26517.119999999999</v>
      </c>
      <c r="M489" s="102">
        <v>5.0299999999999997E-2</v>
      </c>
      <c r="N489" s="100"/>
      <c r="O489" s="101">
        <f t="shared" si="43"/>
        <v>26538.560000000001</v>
      </c>
      <c r="P489" s="101">
        <f t="shared" si="44"/>
        <v>48298.559999999998</v>
      </c>
      <c r="Q489" s="101">
        <f t="shared" si="48"/>
        <v>21781.439999999999</v>
      </c>
      <c r="R489" s="101">
        <f t="shared" si="45"/>
        <v>26517.119999999999</v>
      </c>
      <c r="S489" s="101">
        <f t="shared" si="46"/>
        <v>0</v>
      </c>
      <c r="T489" s="103">
        <f t="shared" si="47"/>
        <v>0</v>
      </c>
    </row>
    <row r="490" spans="2:20" x14ac:dyDescent="0.25">
      <c r="B490" s="99">
        <v>486</v>
      </c>
      <c r="C490" s="100" t="s">
        <v>943</v>
      </c>
      <c r="D490" s="100">
        <v>31</v>
      </c>
      <c r="E490" s="100" t="s">
        <v>1032</v>
      </c>
      <c r="F490" s="101">
        <v>15.55</v>
      </c>
      <c r="G490" s="101">
        <v>48205</v>
      </c>
      <c r="H490" s="100" t="s">
        <v>1026</v>
      </c>
      <c r="I490" s="101">
        <v>6.4</v>
      </c>
      <c r="J490" s="101">
        <v>19860.77</v>
      </c>
      <c r="K490" s="100" t="s">
        <v>399</v>
      </c>
      <c r="L490" s="100">
        <v>28323.46</v>
      </c>
      <c r="M490" s="102">
        <v>5.3900000000000003E-2</v>
      </c>
      <c r="N490" s="100"/>
      <c r="O490" s="101">
        <f t="shared" si="43"/>
        <v>28344.23</v>
      </c>
      <c r="P490" s="101">
        <f t="shared" si="44"/>
        <v>48184.23</v>
      </c>
      <c r="Q490" s="101">
        <f t="shared" si="48"/>
        <v>19860.77</v>
      </c>
      <c r="R490" s="101">
        <f t="shared" si="45"/>
        <v>28323.460000000003</v>
      </c>
      <c r="S490" s="101">
        <f t="shared" si="46"/>
        <v>0</v>
      </c>
      <c r="T490" s="103">
        <f t="shared" si="47"/>
        <v>0</v>
      </c>
    </row>
    <row r="491" spans="2:20" x14ac:dyDescent="0.25">
      <c r="B491" s="99">
        <v>487</v>
      </c>
      <c r="C491" s="100" t="s">
        <v>943</v>
      </c>
      <c r="D491" s="100">
        <v>32</v>
      </c>
      <c r="E491" s="100" t="s">
        <v>1033</v>
      </c>
      <c r="F491" s="101">
        <v>14.6</v>
      </c>
      <c r="G491" s="101">
        <v>46720</v>
      </c>
      <c r="H491" s="100" t="s">
        <v>1026</v>
      </c>
      <c r="I491" s="101">
        <v>6.1</v>
      </c>
      <c r="J491" s="101">
        <v>19541.439999999999</v>
      </c>
      <c r="K491" s="100" t="s">
        <v>399</v>
      </c>
      <c r="L491" s="100">
        <v>27157.119999999999</v>
      </c>
      <c r="M491" s="102">
        <v>5.2900000000000003E-2</v>
      </c>
      <c r="N491" s="100"/>
      <c r="O491" s="101">
        <f t="shared" si="43"/>
        <v>27178.560000000001</v>
      </c>
      <c r="P491" s="101">
        <f t="shared" si="44"/>
        <v>46698.559999999998</v>
      </c>
      <c r="Q491" s="101">
        <f t="shared" si="48"/>
        <v>19541.439999999999</v>
      </c>
      <c r="R491" s="101">
        <f t="shared" si="45"/>
        <v>27157.119999999999</v>
      </c>
      <c r="S491" s="101">
        <f t="shared" si="46"/>
        <v>0</v>
      </c>
      <c r="T491" s="103">
        <f t="shared" si="47"/>
        <v>0</v>
      </c>
    </row>
    <row r="492" spans="2:20" x14ac:dyDescent="0.25">
      <c r="B492" s="99">
        <v>488</v>
      </c>
      <c r="C492" s="100" t="s">
        <v>930</v>
      </c>
      <c r="D492" s="100">
        <v>82</v>
      </c>
      <c r="E492" s="100" t="s">
        <v>995</v>
      </c>
      <c r="F492" s="101">
        <v>5.8</v>
      </c>
      <c r="G492" s="101">
        <v>47560</v>
      </c>
      <c r="H492" s="100" t="s">
        <v>1034</v>
      </c>
      <c r="I492" s="101">
        <v>2.57</v>
      </c>
      <c r="J492" s="101">
        <v>21128.94</v>
      </c>
      <c r="K492" s="100" t="s">
        <v>399</v>
      </c>
      <c r="L492" s="100">
        <v>26376.12</v>
      </c>
      <c r="M492" s="102">
        <v>6.2799999999999995E-2</v>
      </c>
      <c r="N492" s="100"/>
      <c r="O492" s="101">
        <f t="shared" si="43"/>
        <v>26431.06</v>
      </c>
      <c r="P492" s="101">
        <f t="shared" si="44"/>
        <v>47505.06</v>
      </c>
      <c r="Q492" s="101">
        <f t="shared" si="48"/>
        <v>21128.939999999995</v>
      </c>
      <c r="R492" s="101">
        <f t="shared" si="45"/>
        <v>26376.120000000003</v>
      </c>
      <c r="S492" s="101">
        <f t="shared" si="46"/>
        <v>0</v>
      </c>
      <c r="T492" s="103">
        <f t="shared" si="47"/>
        <v>0</v>
      </c>
    </row>
    <row r="493" spans="2:20" x14ac:dyDescent="0.25">
      <c r="B493" s="99">
        <v>489</v>
      </c>
      <c r="C493" s="100" t="s">
        <v>930</v>
      </c>
      <c r="D493" s="100">
        <v>78</v>
      </c>
      <c r="E493" s="100" t="s">
        <v>1016</v>
      </c>
      <c r="F493" s="101">
        <v>6.35</v>
      </c>
      <c r="G493" s="101">
        <v>49530</v>
      </c>
      <c r="H493" s="100" t="s">
        <v>1040</v>
      </c>
      <c r="I493" s="101">
        <v>3.1</v>
      </c>
      <c r="J493" s="101">
        <v>24232.26</v>
      </c>
      <c r="K493" s="100" t="s">
        <v>399</v>
      </c>
      <c r="L493" s="100">
        <v>25245.48</v>
      </c>
      <c r="M493" s="102">
        <v>6.2700000000000006E-2</v>
      </c>
      <c r="N493" s="100"/>
      <c r="O493" s="101">
        <f t="shared" si="43"/>
        <v>25297.74</v>
      </c>
      <c r="P493" s="101">
        <f t="shared" si="44"/>
        <v>49477.739999999991</v>
      </c>
      <c r="Q493" s="101">
        <f t="shared" si="48"/>
        <v>24232.26</v>
      </c>
      <c r="R493" s="101">
        <f t="shared" si="45"/>
        <v>25245.479999999992</v>
      </c>
      <c r="S493" s="101">
        <f t="shared" si="46"/>
        <v>0</v>
      </c>
      <c r="T493" s="103">
        <f t="shared" si="47"/>
        <v>0</v>
      </c>
    </row>
    <row r="494" spans="2:20" x14ac:dyDescent="0.25">
      <c r="B494" s="99">
        <v>490</v>
      </c>
      <c r="C494" s="100" t="s">
        <v>930</v>
      </c>
      <c r="D494" s="100">
        <v>69</v>
      </c>
      <c r="E494" s="100" t="s">
        <v>1020</v>
      </c>
      <c r="F494" s="101">
        <v>6.95</v>
      </c>
      <c r="G494" s="101">
        <v>47955</v>
      </c>
      <c r="H494" s="100" t="s">
        <v>1040</v>
      </c>
      <c r="I494" s="101">
        <v>3.4</v>
      </c>
      <c r="J494" s="101">
        <v>23506.23</v>
      </c>
      <c r="K494" s="100" t="s">
        <v>399</v>
      </c>
      <c r="L494" s="100">
        <v>24402.54</v>
      </c>
      <c r="M494" s="102">
        <v>6.6699999999999995E-2</v>
      </c>
      <c r="N494" s="100"/>
      <c r="O494" s="101">
        <f t="shared" si="43"/>
        <v>24448.77</v>
      </c>
      <c r="P494" s="101">
        <f t="shared" si="44"/>
        <v>47908.77</v>
      </c>
      <c r="Q494" s="101">
        <f t="shared" si="48"/>
        <v>23506.23</v>
      </c>
      <c r="R494" s="101">
        <f t="shared" si="45"/>
        <v>24402.539999999997</v>
      </c>
      <c r="S494" s="101">
        <f t="shared" si="46"/>
        <v>0</v>
      </c>
      <c r="T494" s="103">
        <f t="shared" si="47"/>
        <v>0</v>
      </c>
    </row>
    <row r="495" spans="2:20" x14ac:dyDescent="0.25">
      <c r="B495" s="99">
        <v>491</v>
      </c>
      <c r="C495" s="100" t="s">
        <v>930</v>
      </c>
      <c r="D495" s="100">
        <v>81</v>
      </c>
      <c r="E495" s="100" t="s">
        <v>1024</v>
      </c>
      <c r="F495" s="101">
        <v>6.2</v>
      </c>
      <c r="G495" s="101">
        <v>50220</v>
      </c>
      <c r="H495" s="100" t="s">
        <v>1041</v>
      </c>
      <c r="I495" s="101">
        <v>2.96</v>
      </c>
      <c r="J495" s="101">
        <v>24030.27</v>
      </c>
      <c r="K495" s="100" t="s">
        <v>399</v>
      </c>
      <c r="L495" s="100">
        <v>26135.46</v>
      </c>
      <c r="M495" s="102">
        <v>6.1100000000000002E-2</v>
      </c>
      <c r="N495" s="100"/>
      <c r="O495" s="101">
        <f t="shared" si="43"/>
        <v>26189.73</v>
      </c>
      <c r="P495" s="101">
        <f t="shared" si="44"/>
        <v>50165.73</v>
      </c>
      <c r="Q495" s="101">
        <f t="shared" si="48"/>
        <v>24030.27</v>
      </c>
      <c r="R495" s="101">
        <f t="shared" si="45"/>
        <v>26135.460000000003</v>
      </c>
      <c r="S495" s="101">
        <f t="shared" si="46"/>
        <v>0</v>
      </c>
      <c r="T495" s="103">
        <f t="shared" si="47"/>
        <v>0</v>
      </c>
    </row>
    <row r="496" spans="2:20" x14ac:dyDescent="0.25">
      <c r="B496" s="99">
        <v>492</v>
      </c>
      <c r="C496" s="100" t="s">
        <v>996</v>
      </c>
      <c r="D496" s="100">
        <v>56</v>
      </c>
      <c r="E496" s="100" t="s">
        <v>1042</v>
      </c>
      <c r="F496" s="101">
        <v>9.4</v>
      </c>
      <c r="G496" s="101">
        <v>52640</v>
      </c>
      <c r="H496" s="100" t="s">
        <v>1043</v>
      </c>
      <c r="I496" s="101">
        <v>4.6500000000000004</v>
      </c>
      <c r="J496" s="101">
        <v>26077.52</v>
      </c>
      <c r="K496" s="100" t="s">
        <v>399</v>
      </c>
      <c r="L496" s="100">
        <v>26524.959999999999</v>
      </c>
      <c r="M496" s="102">
        <v>4.7100000000000003E-2</v>
      </c>
      <c r="N496" s="100"/>
      <c r="O496" s="101">
        <f t="shared" si="43"/>
        <v>26562.48</v>
      </c>
      <c r="P496" s="101">
        <f t="shared" si="44"/>
        <v>52602.48</v>
      </c>
      <c r="Q496" s="101">
        <f t="shared" si="48"/>
        <v>26077.520000000004</v>
      </c>
      <c r="R496" s="101">
        <f t="shared" si="45"/>
        <v>26524.959999999999</v>
      </c>
      <c r="S496" s="101">
        <f t="shared" si="46"/>
        <v>0</v>
      </c>
      <c r="T496" s="103">
        <f t="shared" si="47"/>
        <v>0</v>
      </c>
    </row>
    <row r="497" spans="2:20" x14ac:dyDescent="0.25">
      <c r="B497" s="99">
        <v>493</v>
      </c>
      <c r="C497" s="100" t="s">
        <v>930</v>
      </c>
      <c r="D497" s="100">
        <v>81</v>
      </c>
      <c r="E497" s="100" t="s">
        <v>1047</v>
      </c>
      <c r="F497" s="101">
        <v>6.35</v>
      </c>
      <c r="G497" s="101">
        <v>51435</v>
      </c>
      <c r="H497" s="100" t="s">
        <v>1048</v>
      </c>
      <c r="I497" s="101">
        <v>3.1</v>
      </c>
      <c r="J497" s="101">
        <v>25164.27</v>
      </c>
      <c r="K497" s="100" t="s">
        <v>399</v>
      </c>
      <c r="L497" s="100">
        <v>26216.46</v>
      </c>
      <c r="M497" s="102">
        <v>5.7099999999999998E-2</v>
      </c>
      <c r="N497" s="100"/>
      <c r="O497" s="101">
        <f t="shared" si="43"/>
        <v>26270.73</v>
      </c>
      <c r="P497" s="101">
        <f t="shared" si="44"/>
        <v>51380.73</v>
      </c>
      <c r="Q497" s="101">
        <f t="shared" si="48"/>
        <v>25164.27</v>
      </c>
      <c r="R497" s="101">
        <f t="shared" si="45"/>
        <v>26216.460000000003</v>
      </c>
      <c r="S497" s="101">
        <f t="shared" si="46"/>
        <v>0</v>
      </c>
      <c r="T497" s="103">
        <f t="shared" si="47"/>
        <v>0</v>
      </c>
    </row>
    <row r="498" spans="2:20" x14ac:dyDescent="0.25">
      <c r="B498" s="99">
        <v>494</v>
      </c>
      <c r="C498" s="100" t="s">
        <v>930</v>
      </c>
      <c r="D498" s="100">
        <v>92</v>
      </c>
      <c r="E498" s="100" t="s">
        <v>1049</v>
      </c>
      <c r="F498" s="101">
        <v>5.6</v>
      </c>
      <c r="G498" s="101">
        <v>51520</v>
      </c>
      <c r="H498" s="100" t="s">
        <v>1050</v>
      </c>
      <c r="I498" s="101">
        <v>2.79</v>
      </c>
      <c r="J498" s="101">
        <v>25729.64</v>
      </c>
      <c r="K498" s="100" t="s">
        <v>399</v>
      </c>
      <c r="L498" s="100">
        <v>25728.720000000001</v>
      </c>
      <c r="M498" s="102">
        <v>4.9599999999999998E-2</v>
      </c>
      <c r="N498" s="100"/>
      <c r="O498" s="101">
        <f t="shared" si="43"/>
        <v>25790.36</v>
      </c>
      <c r="P498" s="101">
        <f t="shared" si="44"/>
        <v>51458.359999999993</v>
      </c>
      <c r="Q498" s="101">
        <f t="shared" si="48"/>
        <v>25729.64</v>
      </c>
      <c r="R498" s="101">
        <f t="shared" si="45"/>
        <v>25728.719999999994</v>
      </c>
      <c r="S498" s="101">
        <f t="shared" si="46"/>
        <v>0</v>
      </c>
      <c r="T498" s="103">
        <f t="shared" si="47"/>
        <v>0</v>
      </c>
    </row>
    <row r="499" spans="2:20" x14ac:dyDescent="0.25">
      <c r="B499" s="99">
        <v>495</v>
      </c>
      <c r="C499" s="100" t="s">
        <v>930</v>
      </c>
      <c r="D499" s="100">
        <v>88</v>
      </c>
      <c r="E499" s="100" t="s">
        <v>1026</v>
      </c>
      <c r="F499" s="101">
        <v>5.9</v>
      </c>
      <c r="G499" s="101">
        <v>51920</v>
      </c>
      <c r="H499" s="100" t="s">
        <v>1051</v>
      </c>
      <c r="I499" s="101">
        <v>2.9</v>
      </c>
      <c r="J499" s="101">
        <v>25578.959999999999</v>
      </c>
      <c r="K499" s="100" t="s">
        <v>399</v>
      </c>
      <c r="L499" s="100">
        <v>26282.080000000002</v>
      </c>
      <c r="M499" s="102">
        <v>5.4199999999999998E-2</v>
      </c>
      <c r="N499" s="100"/>
      <c r="O499" s="101">
        <f t="shared" si="43"/>
        <v>26341.040000000001</v>
      </c>
      <c r="P499" s="101">
        <f t="shared" si="44"/>
        <v>51861.040000000008</v>
      </c>
      <c r="Q499" s="101">
        <f t="shared" si="48"/>
        <v>25578.959999999999</v>
      </c>
      <c r="R499" s="101">
        <f t="shared" si="45"/>
        <v>26282.080000000009</v>
      </c>
      <c r="S499" s="101">
        <f t="shared" si="46"/>
        <v>0</v>
      </c>
      <c r="T499" s="103">
        <f t="shared" si="47"/>
        <v>0</v>
      </c>
    </row>
    <row r="500" spans="2:20" x14ac:dyDescent="0.25">
      <c r="B500" s="99">
        <v>496</v>
      </c>
      <c r="C500" s="100" t="s">
        <v>1067</v>
      </c>
      <c r="D500" s="100">
        <v>112</v>
      </c>
      <c r="E500" s="100" t="s">
        <v>1064</v>
      </c>
      <c r="F500" s="101">
        <v>3.8</v>
      </c>
      <c r="G500" s="101">
        <v>42560</v>
      </c>
      <c r="H500" s="100" t="s">
        <v>1068</v>
      </c>
      <c r="I500" s="101">
        <v>1.85</v>
      </c>
      <c r="J500" s="101">
        <v>20795.04</v>
      </c>
      <c r="K500" s="100" t="s">
        <v>399</v>
      </c>
      <c r="L500" s="100">
        <v>21689.919999999998</v>
      </c>
      <c r="M500" s="102">
        <v>5.3499999999999999E-2</v>
      </c>
      <c r="N500" s="100"/>
      <c r="O500" s="101">
        <f t="shared" si="43"/>
        <v>21764.959999999999</v>
      </c>
      <c r="P500" s="101">
        <f t="shared" si="44"/>
        <v>42484.959999999999</v>
      </c>
      <c r="Q500" s="101">
        <f t="shared" si="48"/>
        <v>20795.04</v>
      </c>
      <c r="R500" s="101">
        <f t="shared" si="45"/>
        <v>21689.919999999998</v>
      </c>
      <c r="S500" s="101">
        <f t="shared" si="46"/>
        <v>0</v>
      </c>
      <c r="T500" s="103">
        <f t="shared" si="47"/>
        <v>0</v>
      </c>
    </row>
    <row r="501" spans="2:20" x14ac:dyDescent="0.25">
      <c r="B501" s="99">
        <v>497</v>
      </c>
      <c r="C501" s="100" t="s">
        <v>1069</v>
      </c>
      <c r="D501" s="100">
        <v>67</v>
      </c>
      <c r="E501" s="100" t="s">
        <v>1070</v>
      </c>
      <c r="F501" s="101">
        <v>6.35</v>
      </c>
      <c r="G501" s="101">
        <v>42545</v>
      </c>
      <c r="H501" s="100" t="s">
        <v>1071</v>
      </c>
      <c r="I501" s="101">
        <v>2.85</v>
      </c>
      <c r="J501" s="101">
        <v>19139.89</v>
      </c>
      <c r="K501" s="100" t="s">
        <v>399</v>
      </c>
      <c r="L501" s="100">
        <v>23360.22</v>
      </c>
      <c r="M501" s="102">
        <v>7.17E-2</v>
      </c>
      <c r="N501" s="100"/>
      <c r="O501" s="101">
        <f t="shared" si="43"/>
        <v>23405.11</v>
      </c>
      <c r="P501" s="101">
        <f t="shared" si="44"/>
        <v>42500.11</v>
      </c>
      <c r="Q501" s="101">
        <f t="shared" si="48"/>
        <v>19139.89</v>
      </c>
      <c r="R501" s="101">
        <f t="shared" si="45"/>
        <v>23360.22</v>
      </c>
      <c r="S501" s="101">
        <f t="shared" si="46"/>
        <v>0</v>
      </c>
      <c r="T501" s="103">
        <f t="shared" si="47"/>
        <v>0</v>
      </c>
    </row>
    <row r="502" spans="2:20" x14ac:dyDescent="0.25">
      <c r="B502" s="99">
        <v>498</v>
      </c>
      <c r="C502" s="100" t="s">
        <v>1072</v>
      </c>
      <c r="D502" s="100">
        <v>17</v>
      </c>
      <c r="E502" s="100" t="s">
        <v>1073</v>
      </c>
      <c r="F502" s="101">
        <v>25</v>
      </c>
      <c r="G502" s="101">
        <v>42500</v>
      </c>
      <c r="H502" s="100" t="s">
        <v>1071</v>
      </c>
      <c r="I502" s="101">
        <v>11.7</v>
      </c>
      <c r="J502" s="101">
        <v>19901.39</v>
      </c>
      <c r="K502" s="100" t="s">
        <v>399</v>
      </c>
      <c r="L502" s="100">
        <v>22587.22</v>
      </c>
      <c r="M502" s="102">
        <v>5.6500000000000002E-2</v>
      </c>
      <c r="N502" s="100"/>
      <c r="O502" s="101">
        <f t="shared" si="43"/>
        <v>22598.61</v>
      </c>
      <c r="P502" s="101">
        <f t="shared" si="44"/>
        <v>42488.61</v>
      </c>
      <c r="Q502" s="101">
        <f t="shared" si="48"/>
        <v>19901.389999999996</v>
      </c>
      <c r="R502" s="101">
        <f t="shared" si="45"/>
        <v>22587.220000000005</v>
      </c>
      <c r="S502" s="101">
        <f t="shared" si="46"/>
        <v>0</v>
      </c>
      <c r="T502" s="103">
        <f t="shared" si="47"/>
        <v>0</v>
      </c>
    </row>
    <row r="503" spans="2:20" x14ac:dyDescent="0.25">
      <c r="B503" s="99">
        <v>499</v>
      </c>
      <c r="C503" s="100" t="s">
        <v>1069</v>
      </c>
      <c r="D503" s="100">
        <v>84</v>
      </c>
      <c r="E503" s="100" t="s">
        <v>1074</v>
      </c>
      <c r="F503" s="101">
        <v>5.15</v>
      </c>
      <c r="G503" s="101">
        <v>43260</v>
      </c>
      <c r="H503" s="100" t="s">
        <v>1071</v>
      </c>
      <c r="I503" s="101">
        <v>2.46</v>
      </c>
      <c r="J503" s="101">
        <v>20720.28</v>
      </c>
      <c r="K503" s="100" t="s">
        <v>399</v>
      </c>
      <c r="L503" s="100">
        <v>22483.439999999999</v>
      </c>
      <c r="M503" s="102">
        <v>5.11E-2</v>
      </c>
      <c r="N503" s="100"/>
      <c r="O503" s="101">
        <f t="shared" si="43"/>
        <v>22539.72</v>
      </c>
      <c r="P503" s="101">
        <f t="shared" si="44"/>
        <v>43203.72</v>
      </c>
      <c r="Q503" s="101">
        <f t="shared" si="48"/>
        <v>20720.28</v>
      </c>
      <c r="R503" s="101">
        <f t="shared" si="45"/>
        <v>22483.440000000002</v>
      </c>
      <c r="S503" s="101">
        <f t="shared" si="46"/>
        <v>0</v>
      </c>
      <c r="T503" s="103">
        <f t="shared" si="47"/>
        <v>0</v>
      </c>
    </row>
    <row r="504" spans="2:20" x14ac:dyDescent="0.25">
      <c r="B504" s="99">
        <v>500</v>
      </c>
      <c r="C504" s="100" t="s">
        <v>1069</v>
      </c>
      <c r="D504" s="100">
        <v>58</v>
      </c>
      <c r="E504" s="100" t="s">
        <v>1075</v>
      </c>
      <c r="F504" s="101">
        <v>6.85</v>
      </c>
      <c r="G504" s="101">
        <v>39730</v>
      </c>
      <c r="H504" s="100" t="s">
        <v>1071</v>
      </c>
      <c r="I504" s="101">
        <v>3.3</v>
      </c>
      <c r="J504" s="101">
        <v>19178.86</v>
      </c>
      <c r="K504" s="100" t="s">
        <v>399</v>
      </c>
      <c r="L504" s="100">
        <v>20512.28</v>
      </c>
      <c r="M504" s="102">
        <v>6.3600000000000004E-2</v>
      </c>
      <c r="N504" s="100"/>
      <c r="O504" s="101">
        <f t="shared" si="43"/>
        <v>20551.14</v>
      </c>
      <c r="P504" s="101">
        <f t="shared" si="44"/>
        <v>39691.139999999992</v>
      </c>
      <c r="Q504" s="101">
        <f t="shared" si="48"/>
        <v>19178.859999999997</v>
      </c>
      <c r="R504" s="101">
        <f t="shared" si="45"/>
        <v>20512.279999999995</v>
      </c>
      <c r="S504" s="101">
        <f t="shared" si="46"/>
        <v>0</v>
      </c>
      <c r="T504" s="103">
        <f t="shared" si="47"/>
        <v>0</v>
      </c>
    </row>
    <row r="505" spans="2:20" x14ac:dyDescent="0.25">
      <c r="B505" s="99">
        <v>501</v>
      </c>
      <c r="C505" s="100" t="s">
        <v>1072</v>
      </c>
      <c r="D505" s="100">
        <v>18</v>
      </c>
      <c r="E505" s="100" t="s">
        <v>1076</v>
      </c>
      <c r="F505" s="101">
        <v>24.4</v>
      </c>
      <c r="G505" s="101">
        <v>43920</v>
      </c>
      <c r="H505" s="100" t="s">
        <v>1077</v>
      </c>
      <c r="I505" s="101">
        <v>10.9</v>
      </c>
      <c r="J505" s="101">
        <v>19632.060000000001</v>
      </c>
      <c r="K505" s="100" t="s">
        <v>399</v>
      </c>
      <c r="L505" s="100">
        <v>24275.88</v>
      </c>
      <c r="M505" s="102">
        <v>5.9799999999999999E-2</v>
      </c>
      <c r="N505" s="100"/>
      <c r="O505" s="101">
        <f t="shared" si="43"/>
        <v>24287.94</v>
      </c>
      <c r="P505" s="101">
        <f t="shared" si="44"/>
        <v>43907.94</v>
      </c>
      <c r="Q505" s="101">
        <f t="shared" si="48"/>
        <v>19632.060000000001</v>
      </c>
      <c r="R505" s="101">
        <f t="shared" si="45"/>
        <v>24275.88</v>
      </c>
      <c r="S505" s="101">
        <f t="shared" si="46"/>
        <v>0</v>
      </c>
      <c r="T505" s="103">
        <f t="shared" si="47"/>
        <v>0</v>
      </c>
    </row>
    <row r="506" spans="2:20" x14ac:dyDescent="0.25">
      <c r="B506" s="99">
        <v>502</v>
      </c>
      <c r="C506" s="100" t="s">
        <v>1072</v>
      </c>
      <c r="D506" s="100">
        <v>17</v>
      </c>
      <c r="E506" s="100" t="s">
        <v>1078</v>
      </c>
      <c r="F506" s="101">
        <v>27.5</v>
      </c>
      <c r="G506" s="101">
        <v>46750</v>
      </c>
      <c r="H506" s="100" t="s">
        <v>1077</v>
      </c>
      <c r="I506" s="101">
        <v>12.7</v>
      </c>
      <c r="J506" s="101">
        <v>21601.39</v>
      </c>
      <c r="K506" s="100" t="s">
        <v>399</v>
      </c>
      <c r="L506" s="100">
        <v>25137.22</v>
      </c>
      <c r="M506" s="102">
        <v>6.3600000000000004E-2</v>
      </c>
      <c r="N506" s="100"/>
      <c r="O506" s="101">
        <f t="shared" si="43"/>
        <v>25148.61</v>
      </c>
      <c r="P506" s="101">
        <f t="shared" si="44"/>
        <v>46738.61</v>
      </c>
      <c r="Q506" s="101">
        <f t="shared" si="48"/>
        <v>21601.389999999996</v>
      </c>
      <c r="R506" s="101">
        <f t="shared" si="45"/>
        <v>25137.220000000005</v>
      </c>
      <c r="S506" s="101">
        <f t="shared" si="46"/>
        <v>0</v>
      </c>
      <c r="T506" s="103">
        <f t="shared" si="47"/>
        <v>0</v>
      </c>
    </row>
    <row r="507" spans="2:20" x14ac:dyDescent="0.25">
      <c r="B507" s="99">
        <v>503</v>
      </c>
      <c r="C507" s="100" t="s">
        <v>1079</v>
      </c>
      <c r="D507" s="100">
        <v>11</v>
      </c>
      <c r="E507" s="100" t="s">
        <v>1056</v>
      </c>
      <c r="F507" s="101">
        <v>36.4</v>
      </c>
      <c r="G507" s="101">
        <v>40040</v>
      </c>
      <c r="H507" s="100" t="s">
        <v>1077</v>
      </c>
      <c r="I507" s="101">
        <v>17</v>
      </c>
      <c r="J507" s="101">
        <v>18707.37</v>
      </c>
      <c r="K507" s="100" t="s">
        <v>399</v>
      </c>
      <c r="L507" s="100">
        <v>21325.26</v>
      </c>
      <c r="M507" s="102">
        <v>4.9299999999999997E-2</v>
      </c>
      <c r="N507" s="100"/>
      <c r="O507" s="101">
        <f t="shared" si="43"/>
        <v>21332.63</v>
      </c>
      <c r="P507" s="101">
        <f t="shared" si="44"/>
        <v>40032.629999999997</v>
      </c>
      <c r="Q507" s="101">
        <f t="shared" si="48"/>
        <v>18707.37</v>
      </c>
      <c r="R507" s="101">
        <f t="shared" si="45"/>
        <v>21325.26</v>
      </c>
      <c r="S507" s="101">
        <f t="shared" si="46"/>
        <v>0</v>
      </c>
      <c r="T507" s="103">
        <f t="shared" si="47"/>
        <v>0</v>
      </c>
    </row>
    <row r="508" spans="2:20" x14ac:dyDescent="0.25">
      <c r="B508" s="99">
        <v>504</v>
      </c>
      <c r="C508" s="100" t="s">
        <v>1067</v>
      </c>
      <c r="D508" s="100">
        <v>132</v>
      </c>
      <c r="E508" s="100" t="s">
        <v>1080</v>
      </c>
      <c r="F508" s="101">
        <v>3.65</v>
      </c>
      <c r="G508" s="101">
        <v>48180</v>
      </c>
      <c r="H508" s="100" t="s">
        <v>1081</v>
      </c>
      <c r="I508" s="101">
        <v>1.79</v>
      </c>
      <c r="J508" s="101">
        <v>23716.44</v>
      </c>
      <c r="K508" s="100" t="s">
        <v>399</v>
      </c>
      <c r="L508" s="100">
        <v>24375.119999999999</v>
      </c>
      <c r="M508" s="102">
        <v>4.82E-2</v>
      </c>
      <c r="N508" s="100"/>
      <c r="O508" s="101">
        <f t="shared" si="43"/>
        <v>24463.56</v>
      </c>
      <c r="P508" s="101">
        <f t="shared" si="44"/>
        <v>48091.56</v>
      </c>
      <c r="Q508" s="101">
        <f t="shared" si="48"/>
        <v>23716.44</v>
      </c>
      <c r="R508" s="101">
        <f t="shared" si="45"/>
        <v>24375.119999999999</v>
      </c>
      <c r="S508" s="101">
        <f t="shared" si="46"/>
        <v>0</v>
      </c>
      <c r="T508" s="103">
        <f t="shared" si="47"/>
        <v>0</v>
      </c>
    </row>
    <row r="509" spans="2:20" x14ac:dyDescent="0.25">
      <c r="B509" s="99">
        <v>505</v>
      </c>
      <c r="C509" s="100" t="s">
        <v>1069</v>
      </c>
      <c r="D509" s="100">
        <v>55</v>
      </c>
      <c r="E509" s="100" t="s">
        <v>1082</v>
      </c>
      <c r="F509" s="101">
        <v>7.6</v>
      </c>
      <c r="G509" s="101">
        <v>41800</v>
      </c>
      <c r="H509" s="100" t="s">
        <v>1081</v>
      </c>
      <c r="I509" s="101">
        <v>3.7</v>
      </c>
      <c r="J509" s="101">
        <v>20386.849999999999</v>
      </c>
      <c r="K509" s="100" t="s">
        <v>399</v>
      </c>
      <c r="L509" s="100">
        <v>21376.3</v>
      </c>
      <c r="M509" s="102">
        <v>6.7699999999999996E-2</v>
      </c>
      <c r="N509" s="100"/>
      <c r="O509" s="101">
        <f t="shared" si="43"/>
        <v>21413.15</v>
      </c>
      <c r="P509" s="101">
        <f t="shared" si="44"/>
        <v>41763.15</v>
      </c>
      <c r="Q509" s="101">
        <f t="shared" si="48"/>
        <v>20386.849999999999</v>
      </c>
      <c r="R509" s="101">
        <f t="shared" si="45"/>
        <v>21376.300000000003</v>
      </c>
      <c r="S509" s="101">
        <f t="shared" si="46"/>
        <v>0</v>
      </c>
      <c r="T509" s="103">
        <f t="shared" si="47"/>
        <v>0</v>
      </c>
    </row>
    <row r="510" spans="2:20" x14ac:dyDescent="0.25">
      <c r="B510" s="99">
        <v>506</v>
      </c>
      <c r="C510" s="100" t="s">
        <v>1083</v>
      </c>
      <c r="D510" s="100">
        <v>64</v>
      </c>
      <c r="E510" s="100" t="s">
        <v>1084</v>
      </c>
      <c r="F510" s="101">
        <v>6.7</v>
      </c>
      <c r="G510" s="101">
        <v>42880</v>
      </c>
      <c r="H510" s="100" t="s">
        <v>1085</v>
      </c>
      <c r="I510" s="101">
        <v>3.3</v>
      </c>
      <c r="J510" s="101">
        <v>21162.880000000001</v>
      </c>
      <c r="K510" s="100" t="s">
        <v>399</v>
      </c>
      <c r="L510" s="100">
        <v>21674.240000000002</v>
      </c>
      <c r="M510" s="102">
        <v>4.6199999999999998E-2</v>
      </c>
      <c r="N510" s="100"/>
      <c r="O510" s="101">
        <f t="shared" si="43"/>
        <v>21717.119999999999</v>
      </c>
      <c r="P510" s="101">
        <f t="shared" si="44"/>
        <v>42837.120000000003</v>
      </c>
      <c r="Q510" s="101">
        <f t="shared" si="48"/>
        <v>21162.880000000001</v>
      </c>
      <c r="R510" s="101">
        <f t="shared" si="45"/>
        <v>21674.240000000002</v>
      </c>
      <c r="S510" s="101">
        <f t="shared" si="46"/>
        <v>0</v>
      </c>
      <c r="T510" s="103">
        <f t="shared" si="47"/>
        <v>0</v>
      </c>
    </row>
    <row r="511" spans="2:20" x14ac:dyDescent="0.25">
      <c r="B511" s="99">
        <v>507</v>
      </c>
      <c r="C511" s="100" t="s">
        <v>1069</v>
      </c>
      <c r="D511" s="100">
        <v>50</v>
      </c>
      <c r="E511" s="100" t="s">
        <v>1086</v>
      </c>
      <c r="F511" s="101">
        <v>8.5500000000000007</v>
      </c>
      <c r="G511" s="101">
        <v>42750</v>
      </c>
      <c r="H511" s="100" t="s">
        <v>1085</v>
      </c>
      <c r="I511" s="101">
        <v>4.25</v>
      </c>
      <c r="J511" s="101">
        <v>21283.5</v>
      </c>
      <c r="K511" s="100" t="s">
        <v>399</v>
      </c>
      <c r="L511" s="100">
        <v>21433</v>
      </c>
      <c r="M511" s="102">
        <v>7.5899999999999995E-2</v>
      </c>
      <c r="N511" s="100"/>
      <c r="O511" s="101">
        <f t="shared" si="43"/>
        <v>21466.5</v>
      </c>
      <c r="P511" s="101">
        <f t="shared" si="44"/>
        <v>42716.500000000007</v>
      </c>
      <c r="Q511" s="101">
        <f t="shared" si="48"/>
        <v>21283.5</v>
      </c>
      <c r="R511" s="101">
        <f t="shared" si="45"/>
        <v>21433.000000000007</v>
      </c>
      <c r="S511" s="101">
        <f t="shared" si="46"/>
        <v>0</v>
      </c>
      <c r="T511" s="103">
        <f t="shared" si="47"/>
        <v>0</v>
      </c>
    </row>
    <row r="512" spans="2:20" x14ac:dyDescent="0.25">
      <c r="B512" s="99">
        <v>508</v>
      </c>
      <c r="C512" s="100" t="s">
        <v>1067</v>
      </c>
      <c r="D512" s="100">
        <v>103</v>
      </c>
      <c r="E512" s="100" t="s">
        <v>1087</v>
      </c>
      <c r="F512" s="101">
        <v>4.25</v>
      </c>
      <c r="G512" s="101">
        <v>43775</v>
      </c>
      <c r="H512" s="100" t="s">
        <v>1088</v>
      </c>
      <c r="I512" s="101">
        <v>2.0699999999999998</v>
      </c>
      <c r="J512" s="101">
        <v>21390.01</v>
      </c>
      <c r="K512" s="100" t="s">
        <v>399</v>
      </c>
      <c r="L512" s="100">
        <v>22315.98</v>
      </c>
      <c r="M512" s="102">
        <v>6.0600000000000001E-2</v>
      </c>
      <c r="N512" s="100"/>
      <c r="O512" s="101">
        <f t="shared" si="43"/>
        <v>22384.99</v>
      </c>
      <c r="P512" s="101">
        <f t="shared" si="44"/>
        <v>43705.99</v>
      </c>
      <c r="Q512" s="101">
        <f t="shared" si="48"/>
        <v>21390.009999999995</v>
      </c>
      <c r="R512" s="101">
        <f t="shared" si="45"/>
        <v>22315.980000000003</v>
      </c>
      <c r="S512" s="101">
        <f t="shared" si="46"/>
        <v>0</v>
      </c>
      <c r="T512" s="103">
        <f t="shared" si="47"/>
        <v>0</v>
      </c>
    </row>
    <row r="513" spans="2:20" x14ac:dyDescent="0.25">
      <c r="B513" s="99">
        <v>509</v>
      </c>
      <c r="C513" s="100" t="s">
        <v>1069</v>
      </c>
      <c r="D513" s="100">
        <v>78</v>
      </c>
      <c r="E513" s="100" t="s">
        <v>1089</v>
      </c>
      <c r="F513" s="101">
        <v>5.55</v>
      </c>
      <c r="G513" s="101">
        <v>43290</v>
      </c>
      <c r="H513" s="100" t="s">
        <v>1090</v>
      </c>
      <c r="I513" s="101">
        <v>2.5099999999999998</v>
      </c>
      <c r="J513" s="101">
        <v>19630.259999999998</v>
      </c>
      <c r="K513" s="100" t="s">
        <v>399</v>
      </c>
      <c r="L513" s="100">
        <v>23607.48</v>
      </c>
      <c r="M513" s="102">
        <v>5.5599999999999997E-2</v>
      </c>
      <c r="N513" s="100"/>
      <c r="O513" s="101">
        <f t="shared" si="43"/>
        <v>23659.74</v>
      </c>
      <c r="P513" s="101">
        <f t="shared" si="44"/>
        <v>43237.74</v>
      </c>
      <c r="Q513" s="101">
        <f t="shared" si="48"/>
        <v>19630.259999999995</v>
      </c>
      <c r="R513" s="101">
        <f t="shared" si="45"/>
        <v>23607.480000000003</v>
      </c>
      <c r="S513" s="101">
        <f t="shared" si="46"/>
        <v>0</v>
      </c>
      <c r="T513" s="103">
        <f t="shared" si="47"/>
        <v>0</v>
      </c>
    </row>
    <row r="514" spans="2:20" x14ac:dyDescent="0.25">
      <c r="B514" s="99">
        <v>510</v>
      </c>
      <c r="C514" s="100" t="s">
        <v>1067</v>
      </c>
      <c r="D514" s="100">
        <v>117</v>
      </c>
      <c r="E514" s="100" t="s">
        <v>1091</v>
      </c>
      <c r="F514" s="101">
        <v>3.6</v>
      </c>
      <c r="G514" s="101">
        <v>42120</v>
      </c>
      <c r="H514" s="100" t="s">
        <v>1090</v>
      </c>
      <c r="I514" s="101">
        <v>1.67</v>
      </c>
      <c r="J514" s="101">
        <v>19617.39</v>
      </c>
      <c r="K514" s="100" t="s">
        <v>399</v>
      </c>
      <c r="L514" s="100">
        <v>22424.22</v>
      </c>
      <c r="M514" s="102">
        <v>5.4100000000000002E-2</v>
      </c>
      <c r="N514" s="100"/>
      <c r="O514" s="101">
        <f t="shared" si="43"/>
        <v>22502.61</v>
      </c>
      <c r="P514" s="101">
        <f t="shared" si="44"/>
        <v>42041.61</v>
      </c>
      <c r="Q514" s="101">
        <f t="shared" si="48"/>
        <v>19617.39</v>
      </c>
      <c r="R514" s="101">
        <f t="shared" si="45"/>
        <v>22424.22</v>
      </c>
      <c r="S514" s="101">
        <f t="shared" si="46"/>
        <v>0</v>
      </c>
      <c r="T514" s="103">
        <f t="shared" si="47"/>
        <v>0</v>
      </c>
    </row>
    <row r="515" spans="2:20" x14ac:dyDescent="0.25">
      <c r="B515" s="99">
        <v>511</v>
      </c>
      <c r="C515" s="100" t="s">
        <v>1067</v>
      </c>
      <c r="D515" s="100">
        <v>104</v>
      </c>
      <c r="E515" s="100" t="s">
        <v>1092</v>
      </c>
      <c r="F515" s="101">
        <v>4.3</v>
      </c>
      <c r="G515" s="101">
        <v>44720</v>
      </c>
      <c r="H515" s="100" t="s">
        <v>1093</v>
      </c>
      <c r="I515" s="101">
        <v>2.11</v>
      </c>
      <c r="J515" s="101">
        <v>22013.68</v>
      </c>
      <c r="K515" s="100" t="s">
        <v>399</v>
      </c>
      <c r="L515" s="100">
        <v>22636.639999999999</v>
      </c>
      <c r="M515" s="102">
        <v>5.7700000000000001E-2</v>
      </c>
      <c r="N515" s="100"/>
      <c r="O515" s="101">
        <f t="shared" si="43"/>
        <v>22706.32</v>
      </c>
      <c r="P515" s="101">
        <f t="shared" si="44"/>
        <v>44650.32</v>
      </c>
      <c r="Q515" s="101">
        <f t="shared" si="48"/>
        <v>22013.68</v>
      </c>
      <c r="R515" s="101">
        <f t="shared" si="45"/>
        <v>22636.639999999999</v>
      </c>
      <c r="S515" s="101">
        <f t="shared" si="46"/>
        <v>0</v>
      </c>
      <c r="T515" s="103">
        <f t="shared" si="47"/>
        <v>0</v>
      </c>
    </row>
    <row r="516" spans="2:20" x14ac:dyDescent="0.25">
      <c r="B516" s="99">
        <v>512</v>
      </c>
      <c r="C516" s="100" t="s">
        <v>1067</v>
      </c>
      <c r="D516" s="100">
        <v>107</v>
      </c>
      <c r="E516" s="100" t="s">
        <v>1094</v>
      </c>
      <c r="F516" s="101">
        <v>4.05</v>
      </c>
      <c r="G516" s="101">
        <v>43335</v>
      </c>
      <c r="H516" s="100" t="s">
        <v>1093</v>
      </c>
      <c r="I516" s="101">
        <v>1.92</v>
      </c>
      <c r="J516" s="101">
        <v>20615.689999999999</v>
      </c>
      <c r="K516" s="100" t="s">
        <v>399</v>
      </c>
      <c r="L516" s="100">
        <v>22647.62</v>
      </c>
      <c r="M516" s="102">
        <v>5.7299999999999997E-2</v>
      </c>
      <c r="N516" s="100"/>
      <c r="O516" s="101">
        <f t="shared" si="43"/>
        <v>22719.31</v>
      </c>
      <c r="P516" s="101">
        <f t="shared" si="44"/>
        <v>43263.31</v>
      </c>
      <c r="Q516" s="101">
        <f t="shared" si="48"/>
        <v>20615.689999999999</v>
      </c>
      <c r="R516" s="101">
        <f t="shared" si="45"/>
        <v>22647.62</v>
      </c>
      <c r="S516" s="101">
        <f t="shared" si="46"/>
        <v>0</v>
      </c>
      <c r="T516" s="103">
        <f t="shared" si="47"/>
        <v>0</v>
      </c>
    </row>
    <row r="517" spans="2:20" x14ac:dyDescent="0.25">
      <c r="B517" s="99">
        <v>513</v>
      </c>
      <c r="C517" s="100" t="s">
        <v>1072</v>
      </c>
      <c r="D517" s="100">
        <v>18</v>
      </c>
      <c r="E517" s="100" t="s">
        <v>1095</v>
      </c>
      <c r="F517" s="101">
        <v>24</v>
      </c>
      <c r="G517" s="101">
        <v>43200</v>
      </c>
      <c r="H517" s="100" t="s">
        <v>1096</v>
      </c>
      <c r="I517" s="101">
        <v>9.3000000000000007</v>
      </c>
      <c r="J517" s="101">
        <v>16752.060000000001</v>
      </c>
      <c r="K517" s="100" t="s">
        <v>399</v>
      </c>
      <c r="L517" s="100">
        <v>26435.88</v>
      </c>
      <c r="M517" s="102">
        <v>5.9700000000000003E-2</v>
      </c>
      <c r="N517" s="100"/>
      <c r="O517" s="101">
        <f t="shared" si="43"/>
        <v>26447.94</v>
      </c>
      <c r="P517" s="101">
        <f t="shared" si="44"/>
        <v>43187.94</v>
      </c>
      <c r="Q517" s="101">
        <f t="shared" si="48"/>
        <v>16752.060000000001</v>
      </c>
      <c r="R517" s="101">
        <f t="shared" si="45"/>
        <v>26435.88</v>
      </c>
      <c r="S517" s="101">
        <f t="shared" si="46"/>
        <v>0</v>
      </c>
      <c r="T517" s="103">
        <f t="shared" si="47"/>
        <v>0</v>
      </c>
    </row>
    <row r="518" spans="2:20" x14ac:dyDescent="0.25">
      <c r="B518" s="99">
        <v>514</v>
      </c>
      <c r="C518" s="100" t="s">
        <v>1072</v>
      </c>
      <c r="D518" s="100">
        <v>14</v>
      </c>
      <c r="E518" s="100" t="s">
        <v>1097</v>
      </c>
      <c r="F518" s="101">
        <v>30.3</v>
      </c>
      <c r="G518" s="101">
        <v>42420</v>
      </c>
      <c r="H518" s="100" t="s">
        <v>1096</v>
      </c>
      <c r="I518" s="101">
        <v>12.3</v>
      </c>
      <c r="J518" s="101">
        <v>17229.38</v>
      </c>
      <c r="K518" s="100" t="s">
        <v>399</v>
      </c>
      <c r="L518" s="100">
        <v>25181.24</v>
      </c>
      <c r="M518" s="102">
        <v>7.1999999999999995E-2</v>
      </c>
      <c r="N518" s="100"/>
      <c r="O518" s="101">
        <f t="shared" ref="O518:O570" si="49">G518-J518</f>
        <v>25190.62</v>
      </c>
      <c r="P518" s="101">
        <f t="shared" ref="P518:P570" si="50">F518*D518*100 - D518*0.67</f>
        <v>42410.62</v>
      </c>
      <c r="Q518" s="101">
        <f t="shared" si="48"/>
        <v>17229.38</v>
      </c>
      <c r="R518" s="101">
        <f t="shared" ref="R518:R570" si="51">P518-Q518</f>
        <v>25181.24</v>
      </c>
      <c r="S518" s="101">
        <f t="shared" ref="S518:S570" si="52">L518-R518</f>
        <v>0</v>
      </c>
      <c r="T518" s="103">
        <f t="shared" ref="T518:T570" si="53">S518/D518</f>
        <v>0</v>
      </c>
    </row>
    <row r="519" spans="2:20" x14ac:dyDescent="0.25">
      <c r="B519" s="99">
        <v>515</v>
      </c>
      <c r="C519" s="100" t="s">
        <v>1072</v>
      </c>
      <c r="D519" s="100">
        <v>16</v>
      </c>
      <c r="E519" s="100" t="s">
        <v>1098</v>
      </c>
      <c r="F519" s="101">
        <v>27.3</v>
      </c>
      <c r="G519" s="101">
        <v>43680</v>
      </c>
      <c r="H519" s="100" t="s">
        <v>1096</v>
      </c>
      <c r="I519" s="101">
        <v>10.7</v>
      </c>
      <c r="J519" s="101">
        <v>17130.72</v>
      </c>
      <c r="K519" s="100" t="s">
        <v>399</v>
      </c>
      <c r="L519" s="100">
        <v>26538.560000000001</v>
      </c>
      <c r="M519" s="102">
        <v>6.83E-2</v>
      </c>
      <c r="N519" s="100"/>
      <c r="O519" s="101">
        <f t="shared" si="49"/>
        <v>26549.279999999999</v>
      </c>
      <c r="P519" s="101">
        <f t="shared" si="50"/>
        <v>43669.279999999999</v>
      </c>
      <c r="Q519" s="101">
        <f t="shared" si="48"/>
        <v>17130.72</v>
      </c>
      <c r="R519" s="101">
        <f t="shared" si="51"/>
        <v>26538.559999999998</v>
      </c>
      <c r="S519" s="101">
        <f t="shared" si="52"/>
        <v>0</v>
      </c>
      <c r="T519" s="103">
        <f t="shared" si="53"/>
        <v>0</v>
      </c>
    </row>
    <row r="520" spans="2:20" x14ac:dyDescent="0.25">
      <c r="B520" s="99">
        <v>516</v>
      </c>
      <c r="C520" s="100" t="s">
        <v>1072</v>
      </c>
      <c r="D520" s="100">
        <v>18</v>
      </c>
      <c r="E520" s="100" t="s">
        <v>1099</v>
      </c>
      <c r="F520" s="101">
        <v>24.3</v>
      </c>
      <c r="G520" s="101">
        <v>43740</v>
      </c>
      <c r="H520" s="100" t="s">
        <v>1096</v>
      </c>
      <c r="I520" s="101">
        <v>9.1999999999999993</v>
      </c>
      <c r="J520" s="101">
        <v>16572.060000000001</v>
      </c>
      <c r="K520" s="100" t="s">
        <v>399</v>
      </c>
      <c r="L520" s="100">
        <v>27155.88</v>
      </c>
      <c r="M520" s="102">
        <v>6.4000000000000001E-2</v>
      </c>
      <c r="N520" s="100"/>
      <c r="O520" s="101">
        <f t="shared" si="49"/>
        <v>27167.94</v>
      </c>
      <c r="P520" s="101">
        <f t="shared" si="50"/>
        <v>43727.94</v>
      </c>
      <c r="Q520" s="101">
        <f t="shared" si="48"/>
        <v>16572.060000000001</v>
      </c>
      <c r="R520" s="101">
        <f t="shared" si="51"/>
        <v>27155.88</v>
      </c>
      <c r="S520" s="101">
        <f t="shared" si="52"/>
        <v>0</v>
      </c>
      <c r="T520" s="103">
        <f t="shared" si="53"/>
        <v>0</v>
      </c>
    </row>
    <row r="521" spans="2:20" x14ac:dyDescent="0.25">
      <c r="B521" s="99">
        <v>517</v>
      </c>
      <c r="C521" s="100" t="s">
        <v>1100</v>
      </c>
      <c r="D521" s="100">
        <v>4</v>
      </c>
      <c r="E521" s="100" t="s">
        <v>1101</v>
      </c>
      <c r="F521" s="101">
        <v>97.2</v>
      </c>
      <c r="G521" s="101">
        <v>38880</v>
      </c>
      <c r="H521" s="100" t="s">
        <v>1096</v>
      </c>
      <c r="I521" s="101">
        <v>43</v>
      </c>
      <c r="J521" s="101">
        <v>17202.68</v>
      </c>
      <c r="K521" s="100" t="s">
        <v>399</v>
      </c>
      <c r="L521" s="100">
        <v>21674.639999999999</v>
      </c>
      <c r="M521" s="102">
        <v>0.06</v>
      </c>
      <c r="N521" s="100"/>
      <c r="O521" s="101">
        <f t="shared" si="49"/>
        <v>21677.32</v>
      </c>
      <c r="P521" s="101">
        <f t="shared" si="50"/>
        <v>38877.32</v>
      </c>
      <c r="Q521" s="101">
        <f t="shared" si="48"/>
        <v>17202.68</v>
      </c>
      <c r="R521" s="101">
        <f t="shared" si="51"/>
        <v>21674.639999999999</v>
      </c>
      <c r="S521" s="101">
        <f t="shared" si="52"/>
        <v>0</v>
      </c>
      <c r="T521" s="103">
        <f t="shared" si="53"/>
        <v>0</v>
      </c>
    </row>
    <row r="522" spans="2:20" x14ac:dyDescent="0.25">
      <c r="B522" s="99">
        <v>518</v>
      </c>
      <c r="C522" s="100" t="s">
        <v>1069</v>
      </c>
      <c r="D522" s="100">
        <v>61</v>
      </c>
      <c r="E522" s="100" t="s">
        <v>1102</v>
      </c>
      <c r="F522" s="101">
        <v>7.05</v>
      </c>
      <c r="G522" s="101">
        <v>43005</v>
      </c>
      <c r="H522" s="100" t="s">
        <v>1096</v>
      </c>
      <c r="I522" s="101">
        <v>3.25</v>
      </c>
      <c r="J522" s="101">
        <v>19865.87</v>
      </c>
      <c r="K522" s="100" t="s">
        <v>399</v>
      </c>
      <c r="L522" s="100">
        <v>23098.26</v>
      </c>
      <c r="M522" s="102">
        <v>6.83E-2</v>
      </c>
      <c r="N522" s="100"/>
      <c r="O522" s="101">
        <f t="shared" si="49"/>
        <v>23139.13</v>
      </c>
      <c r="P522" s="101">
        <f t="shared" si="50"/>
        <v>42964.13</v>
      </c>
      <c r="Q522" s="101">
        <f t="shared" si="48"/>
        <v>19865.87</v>
      </c>
      <c r="R522" s="101">
        <f t="shared" si="51"/>
        <v>23098.26</v>
      </c>
      <c r="S522" s="101">
        <f t="shared" si="52"/>
        <v>0</v>
      </c>
      <c r="T522" s="103">
        <f t="shared" si="53"/>
        <v>0</v>
      </c>
    </row>
    <row r="523" spans="2:20" x14ac:dyDescent="0.25">
      <c r="B523" s="99">
        <v>519</v>
      </c>
      <c r="C523" s="100" t="s">
        <v>1100</v>
      </c>
      <c r="D523" s="100">
        <v>4</v>
      </c>
      <c r="E523" s="100" t="s">
        <v>1103</v>
      </c>
      <c r="F523" s="101">
        <v>98.2</v>
      </c>
      <c r="G523" s="101">
        <v>39280</v>
      </c>
      <c r="H523" s="100" t="s">
        <v>1104</v>
      </c>
      <c r="I523" s="101">
        <v>42</v>
      </c>
      <c r="J523" s="101">
        <v>16802.68</v>
      </c>
      <c r="K523" s="100" t="s">
        <v>399</v>
      </c>
      <c r="L523" s="100">
        <v>22474.639999999999</v>
      </c>
      <c r="M523" s="102">
        <v>5.9700000000000003E-2</v>
      </c>
      <c r="N523" s="100"/>
      <c r="O523" s="101">
        <f t="shared" si="49"/>
        <v>22477.32</v>
      </c>
      <c r="P523" s="101">
        <f t="shared" si="50"/>
        <v>39277.32</v>
      </c>
      <c r="Q523" s="101">
        <f t="shared" si="48"/>
        <v>16802.68</v>
      </c>
      <c r="R523" s="101">
        <f t="shared" si="51"/>
        <v>22474.639999999999</v>
      </c>
      <c r="S523" s="101">
        <f t="shared" si="52"/>
        <v>0</v>
      </c>
      <c r="T523" s="103">
        <f t="shared" si="53"/>
        <v>0</v>
      </c>
    </row>
    <row r="524" spans="2:20" x14ac:dyDescent="0.25">
      <c r="B524" s="99">
        <v>520</v>
      </c>
      <c r="C524" s="100" t="s">
        <v>1079</v>
      </c>
      <c r="D524" s="100">
        <v>10</v>
      </c>
      <c r="E524" s="100" t="s">
        <v>1105</v>
      </c>
      <c r="F524" s="101">
        <v>44.9</v>
      </c>
      <c r="G524" s="101">
        <v>44900</v>
      </c>
      <c r="H524" s="100" t="s">
        <v>1104</v>
      </c>
      <c r="I524" s="101">
        <v>22.3</v>
      </c>
      <c r="J524" s="101">
        <v>22306.7</v>
      </c>
      <c r="K524" s="100" t="s">
        <v>399</v>
      </c>
      <c r="L524" s="100">
        <v>22586.6</v>
      </c>
      <c r="M524" s="102">
        <v>5.0700000000000002E-2</v>
      </c>
      <c r="N524" s="100"/>
      <c r="O524" s="101">
        <f t="shared" si="49"/>
        <v>22593.3</v>
      </c>
      <c r="P524" s="101">
        <f t="shared" si="50"/>
        <v>44893.3</v>
      </c>
      <c r="Q524" s="101">
        <f t="shared" si="48"/>
        <v>22306.7</v>
      </c>
      <c r="R524" s="101">
        <f t="shared" si="51"/>
        <v>22586.600000000002</v>
      </c>
      <c r="S524" s="101">
        <f t="shared" si="52"/>
        <v>0</v>
      </c>
      <c r="T524" s="103">
        <f t="shared" si="53"/>
        <v>0</v>
      </c>
    </row>
    <row r="525" spans="2:20" x14ac:dyDescent="0.25">
      <c r="B525" s="99">
        <v>521</v>
      </c>
      <c r="C525" s="100" t="s">
        <v>1079</v>
      </c>
      <c r="D525" s="100">
        <v>10</v>
      </c>
      <c r="E525" s="100" t="s">
        <v>1106</v>
      </c>
      <c r="F525" s="101">
        <v>46.3</v>
      </c>
      <c r="G525" s="101">
        <v>46300</v>
      </c>
      <c r="H525" s="100" t="s">
        <v>1107</v>
      </c>
      <c r="I525" s="101">
        <v>20.2</v>
      </c>
      <c r="J525" s="101">
        <v>20206.7</v>
      </c>
      <c r="K525" s="100" t="s">
        <v>399</v>
      </c>
      <c r="L525" s="100">
        <v>26086.6</v>
      </c>
      <c r="M525" s="102">
        <v>5.7500000000000002E-2</v>
      </c>
      <c r="N525" s="100"/>
      <c r="O525" s="101">
        <f t="shared" si="49"/>
        <v>26093.3</v>
      </c>
      <c r="P525" s="101">
        <f t="shared" si="50"/>
        <v>46293.3</v>
      </c>
      <c r="Q525" s="101">
        <f t="shared" si="48"/>
        <v>20206.7</v>
      </c>
      <c r="R525" s="101">
        <f t="shared" si="51"/>
        <v>26086.600000000002</v>
      </c>
      <c r="S525" s="101">
        <f t="shared" si="52"/>
        <v>0</v>
      </c>
      <c r="T525" s="103">
        <f t="shared" si="53"/>
        <v>0</v>
      </c>
    </row>
    <row r="526" spans="2:20" x14ac:dyDescent="0.25">
      <c r="B526" s="99">
        <v>522</v>
      </c>
      <c r="C526" s="100" t="s">
        <v>1079</v>
      </c>
      <c r="D526" s="100">
        <v>10</v>
      </c>
      <c r="E526" s="100" t="s">
        <v>1108</v>
      </c>
      <c r="F526" s="101">
        <v>45.2</v>
      </c>
      <c r="G526" s="101">
        <v>45200</v>
      </c>
      <c r="H526" s="100" t="s">
        <v>1109</v>
      </c>
      <c r="I526" s="101">
        <v>22.3</v>
      </c>
      <c r="J526" s="101">
        <v>22306.7</v>
      </c>
      <c r="K526" s="100" t="s">
        <v>399</v>
      </c>
      <c r="L526" s="100">
        <v>22886.6</v>
      </c>
      <c r="M526" s="102">
        <v>4.9200000000000001E-2</v>
      </c>
      <c r="N526" s="100"/>
      <c r="O526" s="101">
        <f t="shared" si="49"/>
        <v>22893.3</v>
      </c>
      <c r="P526" s="101">
        <f t="shared" si="50"/>
        <v>45193.3</v>
      </c>
      <c r="Q526" s="101">
        <f t="shared" si="48"/>
        <v>22306.7</v>
      </c>
      <c r="R526" s="101">
        <f t="shared" si="51"/>
        <v>22886.600000000002</v>
      </c>
      <c r="S526" s="101">
        <f t="shared" si="52"/>
        <v>0</v>
      </c>
      <c r="T526" s="103">
        <f t="shared" si="53"/>
        <v>0</v>
      </c>
    </row>
    <row r="527" spans="2:20" x14ac:dyDescent="0.25">
      <c r="B527" s="99">
        <v>523</v>
      </c>
      <c r="C527" s="100" t="s">
        <v>1067</v>
      </c>
      <c r="D527" s="100">
        <v>93</v>
      </c>
      <c r="E527" s="100" t="s">
        <v>1110</v>
      </c>
      <c r="F527" s="101">
        <v>4.75</v>
      </c>
      <c r="G527" s="101">
        <v>44175</v>
      </c>
      <c r="H527" s="100" t="s">
        <v>1111</v>
      </c>
      <c r="I527" s="101">
        <v>2.37</v>
      </c>
      <c r="J527" s="101">
        <v>22103.31</v>
      </c>
      <c r="K527" s="100" t="s">
        <v>399</v>
      </c>
      <c r="L527" s="100">
        <v>22009.38</v>
      </c>
      <c r="M527" s="102">
        <v>6.1899999999999997E-2</v>
      </c>
      <c r="N527" s="100"/>
      <c r="O527" s="101">
        <f t="shared" si="49"/>
        <v>22071.69</v>
      </c>
      <c r="P527" s="101">
        <f t="shared" si="50"/>
        <v>44112.69</v>
      </c>
      <c r="Q527" s="101">
        <f t="shared" si="48"/>
        <v>22103.31</v>
      </c>
      <c r="R527" s="101">
        <f t="shared" si="51"/>
        <v>22009.38</v>
      </c>
      <c r="S527" s="101">
        <f t="shared" si="52"/>
        <v>0</v>
      </c>
      <c r="T527" s="103">
        <f t="shared" si="53"/>
        <v>0</v>
      </c>
    </row>
    <row r="528" spans="2:20" x14ac:dyDescent="0.25">
      <c r="B528" s="99">
        <v>524</v>
      </c>
      <c r="C528" s="100" t="s">
        <v>1072</v>
      </c>
      <c r="D528" s="100">
        <v>17</v>
      </c>
      <c r="E528" s="100" t="s">
        <v>1071</v>
      </c>
      <c r="F528" s="101">
        <v>28.4</v>
      </c>
      <c r="G528" s="101">
        <v>48280</v>
      </c>
      <c r="H528" s="100" t="s">
        <v>1111</v>
      </c>
      <c r="I528" s="101">
        <v>13.2</v>
      </c>
      <c r="J528" s="101">
        <v>22451.39</v>
      </c>
      <c r="K528" s="100" t="s">
        <v>399</v>
      </c>
      <c r="L528" s="100">
        <v>25817.22</v>
      </c>
      <c r="M528" s="102">
        <v>5.5899999999999998E-2</v>
      </c>
      <c r="N528" s="100"/>
      <c r="O528" s="101">
        <f t="shared" si="49"/>
        <v>25828.61</v>
      </c>
      <c r="P528" s="101">
        <f t="shared" si="50"/>
        <v>48268.609999999993</v>
      </c>
      <c r="Q528" s="101">
        <f t="shared" si="48"/>
        <v>22451.389999999996</v>
      </c>
      <c r="R528" s="101">
        <f t="shared" si="51"/>
        <v>25817.219999999998</v>
      </c>
      <c r="S528" s="101">
        <f t="shared" si="52"/>
        <v>0</v>
      </c>
      <c r="T528" s="103">
        <f t="shared" si="53"/>
        <v>0</v>
      </c>
    </row>
    <row r="529" spans="2:20" x14ac:dyDescent="0.25">
      <c r="B529" s="99">
        <v>525</v>
      </c>
      <c r="C529" s="100" t="s">
        <v>1112</v>
      </c>
      <c r="D529" s="100">
        <v>34</v>
      </c>
      <c r="E529" s="100" t="s">
        <v>1077</v>
      </c>
      <c r="F529" s="101">
        <v>14.4</v>
      </c>
      <c r="G529" s="101">
        <v>48960</v>
      </c>
      <c r="H529" s="100" t="s">
        <v>1113</v>
      </c>
      <c r="I529" s="101">
        <v>6.95</v>
      </c>
      <c r="J529" s="101">
        <v>23652.78</v>
      </c>
      <c r="K529" s="100" t="s">
        <v>399</v>
      </c>
      <c r="L529" s="100">
        <v>25284.44</v>
      </c>
      <c r="M529" s="102">
        <v>4.9099999999999998E-2</v>
      </c>
      <c r="N529" s="100"/>
      <c r="O529" s="101">
        <f t="shared" si="49"/>
        <v>25307.22</v>
      </c>
      <c r="P529" s="101">
        <f t="shared" si="50"/>
        <v>48937.22</v>
      </c>
      <c r="Q529" s="101">
        <f t="shared" si="48"/>
        <v>23652.78</v>
      </c>
      <c r="R529" s="101">
        <f t="shared" si="51"/>
        <v>25284.440000000002</v>
      </c>
      <c r="S529" s="101">
        <f t="shared" si="52"/>
        <v>0</v>
      </c>
      <c r="T529" s="103">
        <f t="shared" si="53"/>
        <v>0</v>
      </c>
    </row>
    <row r="530" spans="2:20" x14ac:dyDescent="0.25">
      <c r="B530" s="99">
        <v>526</v>
      </c>
      <c r="C530" s="100" t="s">
        <v>1112</v>
      </c>
      <c r="D530" s="100">
        <v>34</v>
      </c>
      <c r="E530" s="100" t="s">
        <v>1093</v>
      </c>
      <c r="F530" s="101">
        <v>14.95</v>
      </c>
      <c r="G530" s="101">
        <v>50830</v>
      </c>
      <c r="H530" s="100" t="s">
        <v>1114</v>
      </c>
      <c r="I530" s="101">
        <v>7.1</v>
      </c>
      <c r="J530" s="101">
        <v>24162.78</v>
      </c>
      <c r="K530" s="100" t="s">
        <v>399</v>
      </c>
      <c r="L530" s="100">
        <v>26644.44</v>
      </c>
      <c r="M530" s="102">
        <v>4.9299999999999997E-2</v>
      </c>
      <c r="N530" s="100"/>
      <c r="O530" s="101">
        <f t="shared" si="49"/>
        <v>26667.22</v>
      </c>
      <c r="P530" s="101">
        <f t="shared" si="50"/>
        <v>50807.219999999994</v>
      </c>
      <c r="Q530" s="101">
        <f t="shared" si="48"/>
        <v>24162.779999999995</v>
      </c>
      <c r="R530" s="101">
        <f t="shared" si="51"/>
        <v>26644.44</v>
      </c>
      <c r="S530" s="101">
        <f t="shared" si="52"/>
        <v>0</v>
      </c>
      <c r="T530" s="103">
        <f t="shared" si="53"/>
        <v>0</v>
      </c>
    </row>
    <row r="531" spans="2:20" x14ac:dyDescent="0.25">
      <c r="B531" s="99">
        <v>527</v>
      </c>
      <c r="C531" s="100" t="s">
        <v>1115</v>
      </c>
      <c r="D531" s="100">
        <v>32</v>
      </c>
      <c r="E531" s="100" t="s">
        <v>1116</v>
      </c>
      <c r="F531" s="101">
        <v>14.75</v>
      </c>
      <c r="G531" s="101">
        <v>47200</v>
      </c>
      <c r="H531" s="100" t="s">
        <v>1117</v>
      </c>
      <c r="I531" s="101">
        <v>6.9</v>
      </c>
      <c r="J531" s="101">
        <v>22101.439999999999</v>
      </c>
      <c r="K531" s="100" t="s">
        <v>399</v>
      </c>
      <c r="L531" s="100">
        <v>25077.119999999999</v>
      </c>
      <c r="M531" s="102">
        <v>5.3999999999999999E-2</v>
      </c>
      <c r="N531" s="100"/>
      <c r="O531" s="101">
        <f t="shared" si="49"/>
        <v>25098.560000000001</v>
      </c>
      <c r="P531" s="101">
        <f t="shared" si="50"/>
        <v>47178.559999999998</v>
      </c>
      <c r="Q531" s="101">
        <f t="shared" si="48"/>
        <v>22101.439999999999</v>
      </c>
      <c r="R531" s="101">
        <f t="shared" si="51"/>
        <v>25077.119999999999</v>
      </c>
      <c r="S531" s="101">
        <f t="shared" si="52"/>
        <v>0</v>
      </c>
      <c r="T531" s="103">
        <f t="shared" si="53"/>
        <v>0</v>
      </c>
    </row>
    <row r="532" spans="2:20" x14ac:dyDescent="0.25">
      <c r="B532" s="99">
        <v>528</v>
      </c>
      <c r="C532" s="100" t="s">
        <v>993</v>
      </c>
      <c r="D532" s="100">
        <v>36</v>
      </c>
      <c r="E532" s="100" t="s">
        <v>1085</v>
      </c>
      <c r="F532" s="101">
        <v>13.6</v>
      </c>
      <c r="G532" s="101">
        <v>48960</v>
      </c>
      <c r="H532" s="100" t="s">
        <v>1117</v>
      </c>
      <c r="I532" s="101">
        <v>6.8</v>
      </c>
      <c r="J532" s="101">
        <v>24504.12</v>
      </c>
      <c r="K532" s="100" t="s">
        <v>399</v>
      </c>
      <c r="L532" s="100">
        <v>24431.759999999998</v>
      </c>
      <c r="M532" s="102">
        <v>6.6900000000000001E-2</v>
      </c>
      <c r="N532" s="100"/>
      <c r="O532" s="101">
        <f t="shared" si="49"/>
        <v>24455.88</v>
      </c>
      <c r="P532" s="101">
        <f t="shared" si="50"/>
        <v>48935.88</v>
      </c>
      <c r="Q532" s="101">
        <f t="shared" si="48"/>
        <v>24504.12</v>
      </c>
      <c r="R532" s="101">
        <f t="shared" si="51"/>
        <v>24431.759999999998</v>
      </c>
      <c r="S532" s="101">
        <f t="shared" si="52"/>
        <v>0</v>
      </c>
      <c r="T532" s="103">
        <f t="shared" si="53"/>
        <v>0</v>
      </c>
    </row>
    <row r="533" spans="2:20" x14ac:dyDescent="0.25">
      <c r="B533" s="99">
        <v>529</v>
      </c>
      <c r="C533" s="100" t="s">
        <v>1067</v>
      </c>
      <c r="D533" s="100">
        <v>96</v>
      </c>
      <c r="E533" s="100" t="s">
        <v>1068</v>
      </c>
      <c r="F533" s="101">
        <v>4.8</v>
      </c>
      <c r="G533" s="101">
        <v>46080</v>
      </c>
      <c r="H533" s="100" t="s">
        <v>1118</v>
      </c>
      <c r="I533" s="101">
        <v>2.21</v>
      </c>
      <c r="J533" s="101">
        <v>21280.32</v>
      </c>
      <c r="K533" s="100" t="s">
        <v>399</v>
      </c>
      <c r="L533" s="100">
        <v>24735.360000000001</v>
      </c>
      <c r="M533" s="102">
        <v>6.5699999999999995E-2</v>
      </c>
      <c r="N533" s="100"/>
      <c r="O533" s="101">
        <f t="shared" si="49"/>
        <v>24799.68</v>
      </c>
      <c r="P533" s="101">
        <f t="shared" si="50"/>
        <v>46015.679999999993</v>
      </c>
      <c r="Q533" s="101">
        <f t="shared" si="48"/>
        <v>21280.32</v>
      </c>
      <c r="R533" s="101">
        <f t="shared" si="51"/>
        <v>24735.359999999993</v>
      </c>
      <c r="S533" s="101">
        <f t="shared" si="52"/>
        <v>0</v>
      </c>
      <c r="T533" s="103">
        <f t="shared" si="53"/>
        <v>0</v>
      </c>
    </row>
    <row r="534" spans="2:20" x14ac:dyDescent="0.25">
      <c r="B534" s="99">
        <v>530</v>
      </c>
      <c r="C534" s="100" t="s">
        <v>993</v>
      </c>
      <c r="D534" s="100">
        <v>35</v>
      </c>
      <c r="E534" s="100" t="s">
        <v>1119</v>
      </c>
      <c r="F534" s="101">
        <v>14.15</v>
      </c>
      <c r="G534" s="101">
        <v>49525</v>
      </c>
      <c r="H534" s="100" t="s">
        <v>1120</v>
      </c>
      <c r="I534" s="101">
        <v>7</v>
      </c>
      <c r="J534" s="101">
        <v>24523.45</v>
      </c>
      <c r="K534" s="100" t="s">
        <v>399</v>
      </c>
      <c r="L534" s="100">
        <v>24978.1</v>
      </c>
      <c r="M534" s="102">
        <v>6.7400000000000002E-2</v>
      </c>
      <c r="N534" s="100"/>
      <c r="O534" s="101">
        <f t="shared" si="49"/>
        <v>25001.55</v>
      </c>
      <c r="P534" s="101">
        <f t="shared" si="50"/>
        <v>49501.55</v>
      </c>
      <c r="Q534" s="101">
        <f t="shared" si="48"/>
        <v>24523.45</v>
      </c>
      <c r="R534" s="101">
        <f t="shared" si="51"/>
        <v>24978.100000000002</v>
      </c>
      <c r="S534" s="101">
        <f t="shared" si="52"/>
        <v>0</v>
      </c>
      <c r="T534" s="103">
        <f t="shared" si="53"/>
        <v>0</v>
      </c>
    </row>
    <row r="535" spans="2:20" x14ac:dyDescent="0.25">
      <c r="B535" s="99">
        <v>531</v>
      </c>
      <c r="C535" s="100" t="s">
        <v>993</v>
      </c>
      <c r="D535" s="100">
        <v>44</v>
      </c>
      <c r="E535" s="100" t="s">
        <v>1090</v>
      </c>
      <c r="F535" s="101">
        <v>11.65</v>
      </c>
      <c r="G535" s="101">
        <v>51260</v>
      </c>
      <c r="H535" s="100" t="s">
        <v>1120</v>
      </c>
      <c r="I535" s="101">
        <v>5.0999999999999996</v>
      </c>
      <c r="J535" s="101">
        <v>22469.48</v>
      </c>
      <c r="K535" s="100" t="s">
        <v>399</v>
      </c>
      <c r="L535" s="100">
        <v>28761.040000000001</v>
      </c>
      <c r="M535" s="102">
        <v>6.3200000000000006E-2</v>
      </c>
      <c r="N535" s="100"/>
      <c r="O535" s="101">
        <f t="shared" si="49"/>
        <v>28790.52</v>
      </c>
      <c r="P535" s="101">
        <f t="shared" si="50"/>
        <v>51230.52</v>
      </c>
      <c r="Q535" s="101">
        <f t="shared" si="48"/>
        <v>22469.479999999996</v>
      </c>
      <c r="R535" s="101">
        <f t="shared" si="51"/>
        <v>28761.040000000001</v>
      </c>
      <c r="S535" s="101">
        <f t="shared" si="52"/>
        <v>0</v>
      </c>
      <c r="T535" s="103">
        <f t="shared" si="53"/>
        <v>0</v>
      </c>
    </row>
    <row r="536" spans="2:20" x14ac:dyDescent="0.25">
      <c r="B536" s="99">
        <v>532</v>
      </c>
      <c r="C536" s="100" t="s">
        <v>1121</v>
      </c>
      <c r="D536" s="100">
        <v>22</v>
      </c>
      <c r="E536" s="100" t="s">
        <v>1122</v>
      </c>
      <c r="F536" s="101">
        <v>23.75</v>
      </c>
      <c r="G536" s="101">
        <v>52250</v>
      </c>
      <c r="H536" s="100" t="s">
        <v>1123</v>
      </c>
      <c r="I536" s="101">
        <v>11.6</v>
      </c>
      <c r="J536" s="101">
        <v>25534.74</v>
      </c>
      <c r="K536" s="100" t="s">
        <v>399</v>
      </c>
      <c r="L536" s="100">
        <v>26700.52</v>
      </c>
      <c r="M536" s="102">
        <v>6.1800000000000001E-2</v>
      </c>
      <c r="N536" s="100"/>
      <c r="O536" s="101">
        <f t="shared" si="49"/>
        <v>26715.26</v>
      </c>
      <c r="P536" s="101">
        <f t="shared" si="50"/>
        <v>52235.26</v>
      </c>
      <c r="Q536" s="101">
        <f t="shared" si="48"/>
        <v>25534.74</v>
      </c>
      <c r="R536" s="101">
        <f t="shared" si="51"/>
        <v>26700.52</v>
      </c>
      <c r="S536" s="101">
        <f t="shared" si="52"/>
        <v>0</v>
      </c>
      <c r="T536" s="103">
        <f t="shared" si="53"/>
        <v>0</v>
      </c>
    </row>
    <row r="537" spans="2:20" x14ac:dyDescent="0.25">
      <c r="B537" s="99">
        <v>533</v>
      </c>
      <c r="C537" s="100" t="s">
        <v>1121</v>
      </c>
      <c r="D537" s="100">
        <v>24</v>
      </c>
      <c r="E537" s="100" t="s">
        <v>1113</v>
      </c>
      <c r="F537" s="101">
        <v>22.15</v>
      </c>
      <c r="G537" s="101">
        <v>53160</v>
      </c>
      <c r="H537" s="100" t="s">
        <v>1123</v>
      </c>
      <c r="I537" s="101">
        <v>10.8</v>
      </c>
      <c r="J537" s="101">
        <v>25936.080000000002</v>
      </c>
      <c r="K537" s="100" t="s">
        <v>399</v>
      </c>
      <c r="L537" s="100">
        <v>27207.84</v>
      </c>
      <c r="M537" s="102">
        <v>6.3700000000000007E-2</v>
      </c>
      <c r="N537" s="100"/>
      <c r="O537" s="101">
        <f t="shared" si="49"/>
        <v>27223.919999999998</v>
      </c>
      <c r="P537" s="101">
        <f t="shared" si="50"/>
        <v>53143.919999999991</v>
      </c>
      <c r="Q537" s="101">
        <f t="shared" ref="Q537:Q570" si="54">I537*D537*100 + D537*0.67</f>
        <v>25936.080000000005</v>
      </c>
      <c r="R537" s="101">
        <f t="shared" si="51"/>
        <v>27207.839999999986</v>
      </c>
      <c r="S537" s="101">
        <f t="shared" si="52"/>
        <v>0</v>
      </c>
      <c r="T537" s="103">
        <f t="shared" si="53"/>
        <v>0</v>
      </c>
    </row>
    <row r="538" spans="2:20" x14ac:dyDescent="0.25">
      <c r="B538" s="99">
        <v>534</v>
      </c>
      <c r="C538" s="100" t="s">
        <v>993</v>
      </c>
      <c r="D538" s="100">
        <v>39</v>
      </c>
      <c r="E538" s="100" t="s">
        <v>1107</v>
      </c>
      <c r="F538" s="101">
        <v>13.75</v>
      </c>
      <c r="G538" s="101">
        <v>53625</v>
      </c>
      <c r="H538" s="100" t="s">
        <v>1124</v>
      </c>
      <c r="I538" s="101">
        <v>6.3</v>
      </c>
      <c r="J538" s="101">
        <v>24596.13</v>
      </c>
      <c r="K538" s="100" t="s">
        <v>399</v>
      </c>
      <c r="L538" s="100">
        <v>29002.74</v>
      </c>
      <c r="M538" s="102">
        <v>6.6799999999999998E-2</v>
      </c>
      <c r="N538" s="100"/>
      <c r="O538" s="101">
        <f t="shared" si="49"/>
        <v>29028.87</v>
      </c>
      <c r="P538" s="101">
        <f t="shared" si="50"/>
        <v>53598.87</v>
      </c>
      <c r="Q538" s="101">
        <f t="shared" si="54"/>
        <v>24596.13</v>
      </c>
      <c r="R538" s="101">
        <f t="shared" si="51"/>
        <v>29002.74</v>
      </c>
      <c r="S538" s="101">
        <f t="shared" si="52"/>
        <v>0</v>
      </c>
      <c r="T538" s="103">
        <f t="shared" si="53"/>
        <v>0</v>
      </c>
    </row>
    <row r="539" spans="2:20" x14ac:dyDescent="0.25">
      <c r="B539" s="99">
        <v>535</v>
      </c>
      <c r="C539" s="100" t="s">
        <v>1121</v>
      </c>
      <c r="D539" s="100">
        <v>18</v>
      </c>
      <c r="E539" s="100" t="s">
        <v>1125</v>
      </c>
      <c r="F539" s="101">
        <v>28.65</v>
      </c>
      <c r="G539" s="101">
        <v>51570</v>
      </c>
      <c r="H539" s="100" t="s">
        <v>1124</v>
      </c>
      <c r="I539" s="101">
        <v>11.8</v>
      </c>
      <c r="J539" s="101">
        <v>21252.06</v>
      </c>
      <c r="K539" s="100" t="s">
        <v>399</v>
      </c>
      <c r="L539" s="100">
        <v>30305.88</v>
      </c>
      <c r="M539" s="102">
        <v>8.7999999999999995E-2</v>
      </c>
      <c r="N539" s="100"/>
      <c r="O539" s="101">
        <f t="shared" si="49"/>
        <v>30317.94</v>
      </c>
      <c r="P539" s="101">
        <f t="shared" si="50"/>
        <v>51557.939999999995</v>
      </c>
      <c r="Q539" s="101">
        <f t="shared" si="54"/>
        <v>21252.06</v>
      </c>
      <c r="R539" s="101">
        <f t="shared" si="51"/>
        <v>30305.879999999994</v>
      </c>
      <c r="S539" s="101">
        <f t="shared" si="52"/>
        <v>0</v>
      </c>
      <c r="T539" s="103">
        <f t="shared" si="53"/>
        <v>0</v>
      </c>
    </row>
    <row r="540" spans="2:20" x14ac:dyDescent="0.25">
      <c r="B540" s="99">
        <v>536</v>
      </c>
      <c r="C540" s="100" t="s">
        <v>1121</v>
      </c>
      <c r="D540" s="100">
        <v>22</v>
      </c>
      <c r="E540" s="100" t="s">
        <v>1126</v>
      </c>
      <c r="F540" s="101">
        <v>24.5</v>
      </c>
      <c r="G540" s="101">
        <v>53900</v>
      </c>
      <c r="H540" s="100" t="s">
        <v>1124</v>
      </c>
      <c r="I540" s="101">
        <v>9.9</v>
      </c>
      <c r="J540" s="101">
        <v>21794.74</v>
      </c>
      <c r="K540" s="100" t="s">
        <v>399</v>
      </c>
      <c r="L540" s="100">
        <v>32090.52</v>
      </c>
      <c r="M540" s="102">
        <v>7.8600000000000003E-2</v>
      </c>
      <c r="N540" s="100"/>
      <c r="O540" s="101">
        <f t="shared" si="49"/>
        <v>32105.26</v>
      </c>
      <c r="P540" s="101">
        <f t="shared" si="50"/>
        <v>53885.26</v>
      </c>
      <c r="Q540" s="101">
        <f t="shared" si="54"/>
        <v>21794.74</v>
      </c>
      <c r="R540" s="101">
        <f t="shared" si="51"/>
        <v>32090.52</v>
      </c>
      <c r="S540" s="101">
        <f t="shared" si="52"/>
        <v>0</v>
      </c>
      <c r="T540" s="103">
        <f t="shared" si="53"/>
        <v>0</v>
      </c>
    </row>
    <row r="541" spans="2:20" x14ac:dyDescent="0.25">
      <c r="B541" s="99">
        <v>537</v>
      </c>
      <c r="C541" s="100" t="s">
        <v>1121</v>
      </c>
      <c r="D541" s="100">
        <v>22</v>
      </c>
      <c r="E541" s="100" t="s">
        <v>1127</v>
      </c>
      <c r="F541" s="101">
        <v>24.1</v>
      </c>
      <c r="G541" s="101">
        <v>53020</v>
      </c>
      <c r="H541" s="100" t="s">
        <v>1124</v>
      </c>
      <c r="I541" s="101">
        <v>10.1</v>
      </c>
      <c r="J541" s="101">
        <v>22234.74</v>
      </c>
      <c r="K541" s="100" t="s">
        <v>399</v>
      </c>
      <c r="L541" s="100">
        <v>30770.52</v>
      </c>
      <c r="M541" s="102">
        <v>7.1400000000000005E-2</v>
      </c>
      <c r="N541" s="100"/>
      <c r="O541" s="101">
        <f t="shared" si="49"/>
        <v>30785.26</v>
      </c>
      <c r="P541" s="101">
        <f t="shared" si="50"/>
        <v>53005.260000000009</v>
      </c>
      <c r="Q541" s="101">
        <f t="shared" si="54"/>
        <v>22234.74</v>
      </c>
      <c r="R541" s="101">
        <f t="shared" si="51"/>
        <v>30770.520000000008</v>
      </c>
      <c r="S541" s="101">
        <f t="shared" si="52"/>
        <v>0</v>
      </c>
      <c r="T541" s="103">
        <f t="shared" si="53"/>
        <v>0</v>
      </c>
    </row>
    <row r="542" spans="2:20" x14ac:dyDescent="0.25">
      <c r="B542" s="99">
        <v>538</v>
      </c>
      <c r="C542" s="100" t="s">
        <v>1121</v>
      </c>
      <c r="D542" s="100">
        <v>28</v>
      </c>
      <c r="E542" s="100" t="s">
        <v>1128</v>
      </c>
      <c r="F542" s="101">
        <v>19.95</v>
      </c>
      <c r="G542" s="101">
        <v>55860</v>
      </c>
      <c r="H542" s="100" t="s">
        <v>1124</v>
      </c>
      <c r="I542" s="101">
        <v>8.3000000000000007</v>
      </c>
      <c r="J542" s="101">
        <v>23258.76</v>
      </c>
      <c r="K542" s="100" t="s">
        <v>399</v>
      </c>
      <c r="L542" s="100">
        <v>32582.48</v>
      </c>
      <c r="M542" s="102">
        <v>6.1199999999999997E-2</v>
      </c>
      <c r="N542" s="100"/>
      <c r="O542" s="101">
        <f t="shared" si="49"/>
        <v>32601.24</v>
      </c>
      <c r="P542" s="101">
        <f t="shared" si="50"/>
        <v>55841.24</v>
      </c>
      <c r="Q542" s="101">
        <f t="shared" si="54"/>
        <v>23258.760000000002</v>
      </c>
      <c r="R542" s="101">
        <f t="shared" si="51"/>
        <v>32582.479999999996</v>
      </c>
      <c r="S542" s="101">
        <f t="shared" si="52"/>
        <v>0</v>
      </c>
      <c r="T542" s="103">
        <f t="shared" si="53"/>
        <v>0</v>
      </c>
    </row>
    <row r="543" spans="2:20" x14ac:dyDescent="0.25">
      <c r="B543" s="99">
        <v>539</v>
      </c>
      <c r="C543" s="100" t="s">
        <v>1121</v>
      </c>
      <c r="D543" s="100">
        <v>32</v>
      </c>
      <c r="E543" s="100" t="s">
        <v>1117</v>
      </c>
      <c r="F543" s="101">
        <v>17.05</v>
      </c>
      <c r="G543" s="101">
        <v>54560</v>
      </c>
      <c r="H543" s="100" t="s">
        <v>1124</v>
      </c>
      <c r="I543" s="101">
        <v>7.4</v>
      </c>
      <c r="J543" s="101">
        <v>23701.439999999999</v>
      </c>
      <c r="K543" s="100" t="s">
        <v>399</v>
      </c>
      <c r="L543" s="100">
        <v>30837.119999999999</v>
      </c>
      <c r="M543" s="102">
        <v>5.4199999999999998E-2</v>
      </c>
      <c r="N543" s="100"/>
      <c r="O543" s="101">
        <f t="shared" si="49"/>
        <v>30858.560000000001</v>
      </c>
      <c r="P543" s="101">
        <f t="shared" si="50"/>
        <v>54538.559999999998</v>
      </c>
      <c r="Q543" s="101">
        <f t="shared" si="54"/>
        <v>23701.439999999999</v>
      </c>
      <c r="R543" s="101">
        <f t="shared" si="51"/>
        <v>30837.119999999999</v>
      </c>
      <c r="S543" s="101">
        <f t="shared" si="52"/>
        <v>0</v>
      </c>
      <c r="T543" s="103">
        <f t="shared" si="53"/>
        <v>0</v>
      </c>
    </row>
    <row r="544" spans="2:20" x14ac:dyDescent="0.25">
      <c r="B544" s="99">
        <v>540</v>
      </c>
      <c r="C544" s="100" t="s">
        <v>1067</v>
      </c>
      <c r="D544" s="100">
        <v>104</v>
      </c>
      <c r="E544" s="100" t="s">
        <v>1081</v>
      </c>
      <c r="F544" s="101">
        <v>4.8</v>
      </c>
      <c r="G544" s="101">
        <v>49920</v>
      </c>
      <c r="H544" s="100" t="s">
        <v>1129</v>
      </c>
      <c r="I544" s="101">
        <v>2.2799999999999998</v>
      </c>
      <c r="J544" s="101">
        <v>23781.68</v>
      </c>
      <c r="K544" s="100" t="s">
        <v>399</v>
      </c>
      <c r="L544" s="100">
        <v>26068.639999999999</v>
      </c>
      <c r="M544" s="102">
        <v>6.08E-2</v>
      </c>
      <c r="N544" s="100"/>
      <c r="O544" s="101">
        <f t="shared" si="49"/>
        <v>26138.32</v>
      </c>
      <c r="P544" s="101">
        <f t="shared" si="50"/>
        <v>49850.32</v>
      </c>
      <c r="Q544" s="101">
        <f t="shared" si="54"/>
        <v>23781.679999999997</v>
      </c>
      <c r="R544" s="101">
        <f t="shared" si="51"/>
        <v>26068.640000000003</v>
      </c>
      <c r="S544" s="101">
        <f t="shared" si="52"/>
        <v>0</v>
      </c>
      <c r="T544" s="103">
        <f t="shared" si="53"/>
        <v>0</v>
      </c>
    </row>
    <row r="545" spans="2:20" x14ac:dyDescent="0.25">
      <c r="B545" s="99">
        <v>541</v>
      </c>
      <c r="C545" s="100" t="s">
        <v>1067</v>
      </c>
      <c r="D545" s="100">
        <v>116</v>
      </c>
      <c r="E545" s="100" t="s">
        <v>1088</v>
      </c>
      <c r="F545" s="101">
        <v>4.3</v>
      </c>
      <c r="G545" s="101">
        <v>49880</v>
      </c>
      <c r="H545" s="100" t="s">
        <v>1129</v>
      </c>
      <c r="I545" s="101">
        <v>2.1</v>
      </c>
      <c r="J545" s="101">
        <v>24437.72</v>
      </c>
      <c r="K545" s="100" t="s">
        <v>399</v>
      </c>
      <c r="L545" s="100">
        <v>25364.560000000001</v>
      </c>
      <c r="M545" s="102">
        <v>5.2400000000000002E-2</v>
      </c>
      <c r="N545" s="100"/>
      <c r="O545" s="101">
        <f t="shared" si="49"/>
        <v>25442.28</v>
      </c>
      <c r="P545" s="101">
        <f t="shared" si="50"/>
        <v>49802.279999999992</v>
      </c>
      <c r="Q545" s="101">
        <f t="shared" si="54"/>
        <v>24437.720000000005</v>
      </c>
      <c r="R545" s="101">
        <f t="shared" si="51"/>
        <v>25364.559999999987</v>
      </c>
      <c r="S545" s="101">
        <f t="shared" si="52"/>
        <v>0</v>
      </c>
      <c r="T545" s="103">
        <f t="shared" si="53"/>
        <v>0</v>
      </c>
    </row>
    <row r="546" spans="2:20" x14ac:dyDescent="0.25">
      <c r="B546" s="99">
        <v>542</v>
      </c>
      <c r="C546" s="100" t="s">
        <v>993</v>
      </c>
      <c r="D546" s="100">
        <v>42</v>
      </c>
      <c r="E546" s="100" t="s">
        <v>1130</v>
      </c>
      <c r="F546" s="101">
        <v>13</v>
      </c>
      <c r="G546" s="101">
        <v>54600</v>
      </c>
      <c r="H546" s="100" t="s">
        <v>1131</v>
      </c>
      <c r="I546" s="101">
        <v>6.25</v>
      </c>
      <c r="J546" s="101">
        <v>26278.14</v>
      </c>
      <c r="K546" s="100" t="s">
        <v>399</v>
      </c>
      <c r="L546" s="100">
        <v>28293.72</v>
      </c>
      <c r="M546" s="102">
        <v>5.7599999999999998E-2</v>
      </c>
      <c r="N546" s="100"/>
      <c r="O546" s="101">
        <f t="shared" si="49"/>
        <v>28321.86</v>
      </c>
      <c r="P546" s="101">
        <f t="shared" si="50"/>
        <v>54571.86</v>
      </c>
      <c r="Q546" s="101">
        <f t="shared" si="54"/>
        <v>26278.14</v>
      </c>
      <c r="R546" s="101">
        <f t="shared" si="51"/>
        <v>28293.72</v>
      </c>
      <c r="S546" s="101">
        <f t="shared" si="52"/>
        <v>0</v>
      </c>
      <c r="T546" s="103">
        <f t="shared" si="53"/>
        <v>0</v>
      </c>
    </row>
    <row r="547" spans="2:20" x14ac:dyDescent="0.25">
      <c r="B547" s="99">
        <v>543</v>
      </c>
      <c r="C547" s="100" t="s">
        <v>1069</v>
      </c>
      <c r="D547" s="100">
        <v>67</v>
      </c>
      <c r="E547" s="100" t="s">
        <v>1132</v>
      </c>
      <c r="F547" s="101">
        <v>7.7</v>
      </c>
      <c r="G547" s="101">
        <v>51590</v>
      </c>
      <c r="H547" s="100" t="s">
        <v>1133</v>
      </c>
      <c r="I547" s="101">
        <v>3.7</v>
      </c>
      <c r="J547" s="101">
        <v>24834.89</v>
      </c>
      <c r="K547" s="100" t="s">
        <v>399</v>
      </c>
      <c r="L547" s="100">
        <v>26710.22</v>
      </c>
      <c r="M547" s="102">
        <v>5.5100000000000003E-2</v>
      </c>
      <c r="N547" s="100"/>
      <c r="O547" s="101">
        <f t="shared" si="49"/>
        <v>26755.11</v>
      </c>
      <c r="P547" s="101">
        <f t="shared" si="50"/>
        <v>51545.11</v>
      </c>
      <c r="Q547" s="101">
        <f t="shared" si="54"/>
        <v>24834.89</v>
      </c>
      <c r="R547" s="101">
        <f t="shared" si="51"/>
        <v>26710.22</v>
      </c>
      <c r="S547" s="101">
        <f t="shared" si="52"/>
        <v>0</v>
      </c>
      <c r="T547" s="103">
        <f t="shared" si="53"/>
        <v>0</v>
      </c>
    </row>
    <row r="548" spans="2:20" x14ac:dyDescent="0.25">
      <c r="B548" s="99">
        <v>544</v>
      </c>
      <c r="C548" s="100" t="s">
        <v>1134</v>
      </c>
      <c r="D548" s="100">
        <v>129</v>
      </c>
      <c r="E548" s="100" t="s">
        <v>1135</v>
      </c>
      <c r="F548" s="101">
        <v>4.25</v>
      </c>
      <c r="G548" s="101">
        <v>54825</v>
      </c>
      <c r="H548" s="100" t="s">
        <v>1136</v>
      </c>
      <c r="I548" s="101">
        <v>2.11</v>
      </c>
      <c r="J548" s="101">
        <v>27305.43</v>
      </c>
      <c r="K548" s="100" t="s">
        <v>399</v>
      </c>
      <c r="L548" s="100">
        <v>27433.14</v>
      </c>
      <c r="M548" s="102">
        <v>7.6600000000000001E-2</v>
      </c>
      <c r="N548" s="100"/>
      <c r="O548" s="101">
        <f t="shared" si="49"/>
        <v>27519.57</v>
      </c>
      <c r="P548" s="101">
        <f t="shared" si="50"/>
        <v>54738.57</v>
      </c>
      <c r="Q548" s="101">
        <f t="shared" si="54"/>
        <v>27305.43</v>
      </c>
      <c r="R548" s="101">
        <f t="shared" si="51"/>
        <v>27433.14</v>
      </c>
      <c r="S548" s="101">
        <f t="shared" si="52"/>
        <v>0</v>
      </c>
      <c r="T548" s="103">
        <f t="shared" si="53"/>
        <v>0</v>
      </c>
    </row>
    <row r="549" spans="2:20" x14ac:dyDescent="0.25">
      <c r="B549" s="99">
        <v>545</v>
      </c>
      <c r="C549" s="100" t="s">
        <v>1134</v>
      </c>
      <c r="D549" s="100">
        <v>129</v>
      </c>
      <c r="E549" s="100" t="s">
        <v>1137</v>
      </c>
      <c r="F549" s="101">
        <v>4.25</v>
      </c>
      <c r="G549" s="101">
        <v>54825</v>
      </c>
      <c r="H549" s="100" t="s">
        <v>1138</v>
      </c>
      <c r="I549" s="101">
        <v>1.94</v>
      </c>
      <c r="J549" s="101">
        <v>25112.43</v>
      </c>
      <c r="K549" s="100" t="s">
        <v>399</v>
      </c>
      <c r="L549" s="100">
        <v>29626.14</v>
      </c>
      <c r="M549" s="102">
        <v>7.9899999999999999E-2</v>
      </c>
      <c r="N549" s="100"/>
      <c r="O549" s="101">
        <f t="shared" si="49"/>
        <v>29712.57</v>
      </c>
      <c r="P549" s="101">
        <f t="shared" si="50"/>
        <v>54738.57</v>
      </c>
      <c r="Q549" s="101">
        <f t="shared" si="54"/>
        <v>25112.43</v>
      </c>
      <c r="R549" s="101">
        <f t="shared" si="51"/>
        <v>29626.14</v>
      </c>
      <c r="S549" s="101">
        <f t="shared" si="52"/>
        <v>0</v>
      </c>
      <c r="T549" s="103">
        <f t="shared" si="53"/>
        <v>0</v>
      </c>
    </row>
    <row r="550" spans="2:20" x14ac:dyDescent="0.25">
      <c r="B550" s="99">
        <v>546</v>
      </c>
      <c r="C550" s="100" t="s">
        <v>1134</v>
      </c>
      <c r="D550" s="100">
        <v>135</v>
      </c>
      <c r="E550" s="100" t="s">
        <v>1123</v>
      </c>
      <c r="F550" s="101">
        <v>4.3499999999999996</v>
      </c>
      <c r="G550" s="101">
        <v>58725</v>
      </c>
      <c r="H550" s="100" t="s">
        <v>1138</v>
      </c>
      <c r="I550" s="101">
        <v>2.06</v>
      </c>
      <c r="J550" s="101">
        <v>27900.45</v>
      </c>
      <c r="K550" s="100" t="s">
        <v>399</v>
      </c>
      <c r="L550" s="100">
        <v>30734.1</v>
      </c>
      <c r="M550" s="102">
        <v>8.8800000000000004E-2</v>
      </c>
      <c r="N550" s="100"/>
      <c r="O550" s="101">
        <f t="shared" si="49"/>
        <v>30824.55</v>
      </c>
      <c r="P550" s="101">
        <f t="shared" si="50"/>
        <v>58634.55</v>
      </c>
      <c r="Q550" s="101">
        <f t="shared" si="54"/>
        <v>27900.450000000004</v>
      </c>
      <c r="R550" s="101">
        <f t="shared" si="51"/>
        <v>30734.1</v>
      </c>
      <c r="S550" s="101">
        <f t="shared" si="52"/>
        <v>0</v>
      </c>
      <c r="T550" s="103">
        <f t="shared" si="53"/>
        <v>0</v>
      </c>
    </row>
    <row r="551" spans="2:20" x14ac:dyDescent="0.25">
      <c r="B551" s="99">
        <v>547</v>
      </c>
      <c r="C551" s="100" t="s">
        <v>1134</v>
      </c>
      <c r="D551" s="100">
        <v>135</v>
      </c>
      <c r="E551" s="100" t="s">
        <v>1139</v>
      </c>
      <c r="F551" s="101">
        <v>4.3</v>
      </c>
      <c r="G551" s="101">
        <v>58050</v>
      </c>
      <c r="H551" s="100" t="s">
        <v>1140</v>
      </c>
      <c r="I551" s="101">
        <v>2.09</v>
      </c>
      <c r="J551" s="101">
        <v>28305.45</v>
      </c>
      <c r="K551" s="100" t="s">
        <v>399</v>
      </c>
      <c r="L551" s="100">
        <v>29654.1</v>
      </c>
      <c r="M551" s="102">
        <v>7.3999999999999996E-2</v>
      </c>
      <c r="N551" s="100"/>
      <c r="O551" s="101">
        <f t="shared" si="49"/>
        <v>29744.55</v>
      </c>
      <c r="P551" s="101">
        <f t="shared" si="50"/>
        <v>57959.55</v>
      </c>
      <c r="Q551" s="101">
        <f t="shared" si="54"/>
        <v>28305.449999999997</v>
      </c>
      <c r="R551" s="101">
        <f t="shared" si="51"/>
        <v>29654.100000000006</v>
      </c>
      <c r="S551" s="101">
        <f t="shared" si="52"/>
        <v>0</v>
      </c>
      <c r="T551" s="103">
        <f t="shared" si="53"/>
        <v>0</v>
      </c>
    </row>
    <row r="552" spans="2:20" x14ac:dyDescent="0.25">
      <c r="B552" s="99">
        <v>548</v>
      </c>
      <c r="C552" s="100" t="s">
        <v>1134</v>
      </c>
      <c r="D552" s="100">
        <v>165</v>
      </c>
      <c r="E552" s="100" t="s">
        <v>1124</v>
      </c>
      <c r="F552" s="101">
        <v>3.65</v>
      </c>
      <c r="G552" s="101">
        <v>60225</v>
      </c>
      <c r="H552" s="100" t="s">
        <v>1140</v>
      </c>
      <c r="I552" s="101">
        <v>1.72</v>
      </c>
      <c r="J552" s="101">
        <v>28490.55</v>
      </c>
      <c r="K552" s="100" t="s">
        <v>399</v>
      </c>
      <c r="L552" s="100">
        <v>31623.9</v>
      </c>
      <c r="M552" s="102">
        <v>7.2700000000000001E-2</v>
      </c>
      <c r="N552" s="100"/>
      <c r="O552" s="101">
        <f t="shared" si="49"/>
        <v>31734.45</v>
      </c>
      <c r="P552" s="101">
        <f t="shared" si="50"/>
        <v>60114.45</v>
      </c>
      <c r="Q552" s="101">
        <f t="shared" si="54"/>
        <v>28490.55</v>
      </c>
      <c r="R552" s="101">
        <f t="shared" si="51"/>
        <v>31623.899999999998</v>
      </c>
      <c r="S552" s="101">
        <f t="shared" si="52"/>
        <v>0</v>
      </c>
      <c r="T552" s="103">
        <f t="shared" si="53"/>
        <v>0</v>
      </c>
    </row>
    <row r="553" spans="2:20" x14ac:dyDescent="0.25">
      <c r="B553" s="99">
        <v>549</v>
      </c>
      <c r="C553" s="100" t="s">
        <v>1134</v>
      </c>
      <c r="D553" s="100">
        <v>118</v>
      </c>
      <c r="E553" s="100" t="s">
        <v>1141</v>
      </c>
      <c r="F553" s="101">
        <v>4.9000000000000004</v>
      </c>
      <c r="G553" s="101">
        <v>57820</v>
      </c>
      <c r="H553" s="100" t="s">
        <v>1142</v>
      </c>
      <c r="I553" s="101">
        <v>2.39</v>
      </c>
      <c r="J553" s="101">
        <v>28281.06</v>
      </c>
      <c r="K553" s="100" t="s">
        <v>399</v>
      </c>
      <c r="L553" s="100">
        <v>29459.88</v>
      </c>
      <c r="M553" s="102">
        <v>8.8800000000000004E-2</v>
      </c>
      <c r="N553" s="100"/>
      <c r="O553" s="101">
        <f t="shared" si="49"/>
        <v>29538.94</v>
      </c>
      <c r="P553" s="101">
        <f t="shared" si="50"/>
        <v>57740.94000000001</v>
      </c>
      <c r="Q553" s="101">
        <f t="shared" si="54"/>
        <v>28281.060000000005</v>
      </c>
      <c r="R553" s="101">
        <f t="shared" si="51"/>
        <v>29459.880000000005</v>
      </c>
      <c r="S553" s="101">
        <f t="shared" si="52"/>
        <v>0</v>
      </c>
      <c r="T553" s="103">
        <f t="shared" si="53"/>
        <v>0</v>
      </c>
    </row>
    <row r="554" spans="2:20" x14ac:dyDescent="0.25">
      <c r="B554" s="99">
        <v>550</v>
      </c>
      <c r="C554" s="100" t="s">
        <v>1134</v>
      </c>
      <c r="D554" s="100">
        <v>123</v>
      </c>
      <c r="E554" s="100" t="s">
        <v>1143</v>
      </c>
      <c r="F554" s="101">
        <v>4.8499999999999996</v>
      </c>
      <c r="G554" s="101">
        <v>59655</v>
      </c>
      <c r="H554" s="100" t="s">
        <v>1144</v>
      </c>
      <c r="I554" s="101">
        <v>2.27</v>
      </c>
      <c r="J554" s="101">
        <v>28003.41</v>
      </c>
      <c r="K554" s="100" t="s">
        <v>399</v>
      </c>
      <c r="L554" s="100">
        <v>31569.18</v>
      </c>
      <c r="M554" s="102">
        <v>8.5099999999999995E-2</v>
      </c>
      <c r="N554" s="100"/>
      <c r="O554" s="101">
        <f t="shared" si="49"/>
        <v>31651.59</v>
      </c>
      <c r="P554" s="101">
        <f t="shared" si="50"/>
        <v>59572.589999999989</v>
      </c>
      <c r="Q554" s="101">
        <f t="shared" si="54"/>
        <v>28003.409999999996</v>
      </c>
      <c r="R554" s="101">
        <f t="shared" si="51"/>
        <v>31569.179999999993</v>
      </c>
      <c r="S554" s="101">
        <f t="shared" si="52"/>
        <v>0</v>
      </c>
      <c r="T554" s="103">
        <f t="shared" si="53"/>
        <v>0</v>
      </c>
    </row>
    <row r="555" spans="2:20" x14ac:dyDescent="0.25">
      <c r="B555" s="99">
        <v>551</v>
      </c>
      <c r="C555" s="100" t="s">
        <v>943</v>
      </c>
      <c r="D555" s="100">
        <v>18</v>
      </c>
      <c r="E555" s="100" t="s">
        <v>1096</v>
      </c>
      <c r="F555" s="101">
        <v>29.4</v>
      </c>
      <c r="G555" s="101">
        <v>52920</v>
      </c>
      <c r="H555" s="100" t="s">
        <v>1145</v>
      </c>
      <c r="I555" s="101">
        <v>14.25</v>
      </c>
      <c r="J555" s="101">
        <v>25662.06</v>
      </c>
      <c r="K555" s="100" t="s">
        <v>399</v>
      </c>
      <c r="L555" s="100">
        <v>27245.88</v>
      </c>
      <c r="M555" s="102">
        <v>6.5600000000000006E-2</v>
      </c>
      <c r="N555" s="100"/>
      <c r="O555" s="101">
        <f t="shared" si="49"/>
        <v>27257.94</v>
      </c>
      <c r="P555" s="101">
        <f t="shared" si="50"/>
        <v>52907.939999999995</v>
      </c>
      <c r="Q555" s="101">
        <f t="shared" si="54"/>
        <v>25662.06</v>
      </c>
      <c r="R555" s="101">
        <f t="shared" si="51"/>
        <v>27245.879999999994</v>
      </c>
      <c r="S555" s="101">
        <f t="shared" si="52"/>
        <v>0</v>
      </c>
      <c r="T555" s="103">
        <f t="shared" si="53"/>
        <v>0</v>
      </c>
    </row>
    <row r="556" spans="2:20" x14ac:dyDescent="0.25">
      <c r="B556" s="99">
        <v>552</v>
      </c>
      <c r="C556" s="100" t="s">
        <v>943</v>
      </c>
      <c r="D556" s="100">
        <v>17</v>
      </c>
      <c r="E556" s="100" t="s">
        <v>1146</v>
      </c>
      <c r="F556" s="101">
        <v>31.25</v>
      </c>
      <c r="G556" s="101">
        <v>53125</v>
      </c>
      <c r="H556" s="100" t="s">
        <v>1147</v>
      </c>
      <c r="I556" s="101">
        <v>14.65</v>
      </c>
      <c r="J556" s="101">
        <v>24916.39</v>
      </c>
      <c r="K556" s="100" t="s">
        <v>399</v>
      </c>
      <c r="L556" s="100">
        <v>28197.22</v>
      </c>
      <c r="M556" s="102">
        <v>6.6699999999999995E-2</v>
      </c>
      <c r="N556" s="100"/>
      <c r="O556" s="101">
        <f t="shared" si="49"/>
        <v>28208.61</v>
      </c>
      <c r="P556" s="101">
        <f t="shared" si="50"/>
        <v>53113.61</v>
      </c>
      <c r="Q556" s="101">
        <f t="shared" si="54"/>
        <v>24916.39</v>
      </c>
      <c r="R556" s="101">
        <f t="shared" si="51"/>
        <v>28197.22</v>
      </c>
      <c r="S556" s="101">
        <f t="shared" si="52"/>
        <v>0</v>
      </c>
      <c r="T556" s="103">
        <f t="shared" si="53"/>
        <v>0</v>
      </c>
    </row>
    <row r="557" spans="2:20" x14ac:dyDescent="0.25">
      <c r="B557" s="99">
        <v>553</v>
      </c>
      <c r="C557" s="100" t="s">
        <v>943</v>
      </c>
      <c r="D557" s="100">
        <v>16</v>
      </c>
      <c r="E557" s="100" t="s">
        <v>1104</v>
      </c>
      <c r="F557" s="101">
        <v>33.15</v>
      </c>
      <c r="G557" s="101">
        <v>53040</v>
      </c>
      <c r="H557" s="100" t="s">
        <v>1148</v>
      </c>
      <c r="I557" s="101">
        <v>16.399999999999999</v>
      </c>
      <c r="J557" s="101">
        <v>26250.720000000001</v>
      </c>
      <c r="K557" s="100" t="s">
        <v>399</v>
      </c>
      <c r="L557" s="100">
        <v>26778.560000000001</v>
      </c>
      <c r="M557" s="102">
        <v>6.7799999999999999E-2</v>
      </c>
      <c r="N557" s="100"/>
      <c r="O557" s="101">
        <f t="shared" si="49"/>
        <v>26789.279999999999</v>
      </c>
      <c r="P557" s="101">
        <f t="shared" si="50"/>
        <v>53029.279999999999</v>
      </c>
      <c r="Q557" s="101">
        <f t="shared" si="54"/>
        <v>26250.719999999998</v>
      </c>
      <c r="R557" s="101">
        <f t="shared" si="51"/>
        <v>26778.560000000001</v>
      </c>
      <c r="S557" s="101">
        <f t="shared" si="52"/>
        <v>0</v>
      </c>
      <c r="T557" s="103">
        <f t="shared" si="53"/>
        <v>0</v>
      </c>
    </row>
    <row r="558" spans="2:20" x14ac:dyDescent="0.25">
      <c r="B558" s="99">
        <v>554</v>
      </c>
      <c r="C558" s="100" t="s">
        <v>943</v>
      </c>
      <c r="D558" s="100">
        <v>17</v>
      </c>
      <c r="E558" s="100" t="s">
        <v>1149</v>
      </c>
      <c r="F558" s="101">
        <v>30.85</v>
      </c>
      <c r="G558" s="101">
        <v>52445</v>
      </c>
      <c r="H558" s="100" t="s">
        <v>1148</v>
      </c>
      <c r="I558" s="101">
        <v>14.8</v>
      </c>
      <c r="J558" s="101">
        <v>25171.39</v>
      </c>
      <c r="K558" s="100" t="s">
        <v>399</v>
      </c>
      <c r="L558" s="100">
        <v>27262.22</v>
      </c>
      <c r="M558" s="102">
        <v>6.3100000000000003E-2</v>
      </c>
      <c r="N558" s="100"/>
      <c r="O558" s="101">
        <f t="shared" si="49"/>
        <v>27273.61</v>
      </c>
      <c r="P558" s="101">
        <f t="shared" si="50"/>
        <v>52433.610000000008</v>
      </c>
      <c r="Q558" s="101">
        <f t="shared" si="54"/>
        <v>25171.390000000003</v>
      </c>
      <c r="R558" s="101">
        <f t="shared" si="51"/>
        <v>27262.220000000005</v>
      </c>
      <c r="S558" s="101">
        <f t="shared" si="52"/>
        <v>0</v>
      </c>
      <c r="T558" s="103">
        <f t="shared" si="53"/>
        <v>0</v>
      </c>
    </row>
    <row r="559" spans="2:20" x14ac:dyDescent="0.25">
      <c r="B559" s="99">
        <v>555</v>
      </c>
      <c r="C559" s="100" t="s">
        <v>943</v>
      </c>
      <c r="D559" s="100">
        <v>16</v>
      </c>
      <c r="E559" s="100" t="s">
        <v>1150</v>
      </c>
      <c r="F559" s="101">
        <v>32.450000000000003</v>
      </c>
      <c r="G559" s="101">
        <v>51920</v>
      </c>
      <c r="H559" s="100" t="s">
        <v>1151</v>
      </c>
      <c r="I559" s="101">
        <v>16.100000000000001</v>
      </c>
      <c r="J559" s="101">
        <v>25770.720000000001</v>
      </c>
      <c r="K559" s="100" t="s">
        <v>399</v>
      </c>
      <c r="L559" s="100">
        <v>26138.560000000001</v>
      </c>
      <c r="M559" s="102">
        <v>6.2199999999999998E-2</v>
      </c>
      <c r="N559" s="100"/>
      <c r="O559" s="101">
        <f t="shared" si="49"/>
        <v>26149.279999999999</v>
      </c>
      <c r="P559" s="101">
        <f t="shared" si="50"/>
        <v>51909.280000000006</v>
      </c>
      <c r="Q559" s="101">
        <f t="shared" si="54"/>
        <v>25770.720000000005</v>
      </c>
      <c r="R559" s="101">
        <f t="shared" si="51"/>
        <v>26138.560000000001</v>
      </c>
      <c r="S559" s="101">
        <f t="shared" si="52"/>
        <v>0</v>
      </c>
      <c r="T559" s="103">
        <f t="shared" si="53"/>
        <v>0</v>
      </c>
    </row>
    <row r="560" spans="2:20" x14ac:dyDescent="0.25">
      <c r="B560" s="99">
        <v>556</v>
      </c>
      <c r="C560" s="100" t="s">
        <v>943</v>
      </c>
      <c r="D560" s="100">
        <v>15</v>
      </c>
      <c r="E560" s="100" t="s">
        <v>1109</v>
      </c>
      <c r="F560" s="101">
        <v>34.5</v>
      </c>
      <c r="G560" s="101">
        <v>51750</v>
      </c>
      <c r="H560" s="100" t="s">
        <v>1152</v>
      </c>
      <c r="I560" s="101">
        <v>17.05</v>
      </c>
      <c r="J560" s="101">
        <v>25585.05</v>
      </c>
      <c r="K560" s="100" t="s">
        <v>399</v>
      </c>
      <c r="L560" s="100">
        <v>26154.9</v>
      </c>
      <c r="M560" s="102">
        <v>6.8199999999999997E-2</v>
      </c>
      <c r="N560" s="100"/>
      <c r="O560" s="101">
        <f t="shared" si="49"/>
        <v>26164.95</v>
      </c>
      <c r="P560" s="101">
        <f t="shared" si="50"/>
        <v>51739.95</v>
      </c>
      <c r="Q560" s="101">
        <f t="shared" si="54"/>
        <v>25585.05</v>
      </c>
      <c r="R560" s="101">
        <f t="shared" si="51"/>
        <v>26154.899999999998</v>
      </c>
      <c r="S560" s="101">
        <f t="shared" si="52"/>
        <v>0</v>
      </c>
      <c r="T560" s="103">
        <f t="shared" si="53"/>
        <v>0</v>
      </c>
    </row>
    <row r="561" spans="1:20" x14ac:dyDescent="0.25">
      <c r="B561" s="99">
        <v>557</v>
      </c>
      <c r="C561" s="100" t="s">
        <v>943</v>
      </c>
      <c r="D561" s="100">
        <v>15</v>
      </c>
      <c r="E561" s="100" t="s">
        <v>1111</v>
      </c>
      <c r="F561" s="101">
        <v>36.5</v>
      </c>
      <c r="G561" s="101">
        <v>54750</v>
      </c>
      <c r="H561" s="100" t="s">
        <v>1153</v>
      </c>
      <c r="I561" s="101">
        <v>18.2</v>
      </c>
      <c r="J561" s="101">
        <v>27310.05</v>
      </c>
      <c r="K561" s="100" t="s">
        <v>399</v>
      </c>
      <c r="L561" s="100">
        <v>27429.9</v>
      </c>
      <c r="M561" s="102">
        <v>6.9400000000000003E-2</v>
      </c>
      <c r="N561" s="100"/>
      <c r="O561" s="101">
        <f t="shared" si="49"/>
        <v>27439.95</v>
      </c>
      <c r="P561" s="101">
        <f t="shared" si="50"/>
        <v>54739.95</v>
      </c>
      <c r="Q561" s="101">
        <f t="shared" si="54"/>
        <v>27310.05</v>
      </c>
      <c r="R561" s="101">
        <f t="shared" si="51"/>
        <v>27429.899999999998</v>
      </c>
      <c r="S561" s="101">
        <f t="shared" si="52"/>
        <v>0</v>
      </c>
      <c r="T561" s="103">
        <f t="shared" si="53"/>
        <v>0</v>
      </c>
    </row>
    <row r="562" spans="1:20" x14ac:dyDescent="0.25">
      <c r="B562" s="99">
        <v>558</v>
      </c>
      <c r="C562" s="100" t="s">
        <v>930</v>
      </c>
      <c r="D562" s="100">
        <v>89</v>
      </c>
      <c r="E562" s="100" t="s">
        <v>1154</v>
      </c>
      <c r="F562" s="101">
        <v>6.75</v>
      </c>
      <c r="G562" s="101">
        <v>60075</v>
      </c>
      <c r="H562" s="100" t="s">
        <v>1155</v>
      </c>
      <c r="I562" s="101">
        <v>3.3</v>
      </c>
      <c r="J562" s="101">
        <v>29429.63</v>
      </c>
      <c r="K562" s="100" t="s">
        <v>399</v>
      </c>
      <c r="L562" s="100">
        <v>30585.74</v>
      </c>
      <c r="M562" s="102">
        <v>5.8000000000000003E-2</v>
      </c>
      <c r="N562" s="100"/>
      <c r="O562" s="101">
        <f t="shared" si="49"/>
        <v>30645.37</v>
      </c>
      <c r="P562" s="101">
        <f t="shared" si="50"/>
        <v>60015.37</v>
      </c>
      <c r="Q562" s="101">
        <f t="shared" si="54"/>
        <v>29429.63</v>
      </c>
      <c r="R562" s="101">
        <f t="shared" si="51"/>
        <v>30585.74</v>
      </c>
      <c r="S562" s="101">
        <f t="shared" si="52"/>
        <v>0</v>
      </c>
      <c r="T562" s="103">
        <f t="shared" si="53"/>
        <v>0</v>
      </c>
    </row>
    <row r="563" spans="1:20" x14ac:dyDescent="0.25">
      <c r="B563" s="99">
        <v>559</v>
      </c>
      <c r="C563" s="100" t="s">
        <v>930</v>
      </c>
      <c r="D563" s="100">
        <v>96</v>
      </c>
      <c r="E563" s="100" t="s">
        <v>1156</v>
      </c>
      <c r="F563" s="101">
        <v>6.3</v>
      </c>
      <c r="G563" s="101">
        <v>60480</v>
      </c>
      <c r="H563" s="100" t="s">
        <v>1155</v>
      </c>
      <c r="I563" s="101">
        <v>3.15</v>
      </c>
      <c r="J563" s="101">
        <v>30304.32</v>
      </c>
      <c r="K563" s="100" t="s">
        <v>399</v>
      </c>
      <c r="L563" s="100">
        <v>30111.360000000001</v>
      </c>
      <c r="M563" s="102">
        <v>5.3400000000000003E-2</v>
      </c>
      <c r="N563" s="100"/>
      <c r="O563" s="101">
        <f t="shared" si="49"/>
        <v>30175.68</v>
      </c>
      <c r="P563" s="101">
        <f t="shared" si="50"/>
        <v>60415.679999999993</v>
      </c>
      <c r="Q563" s="101">
        <f t="shared" si="54"/>
        <v>30304.319999999996</v>
      </c>
      <c r="R563" s="101">
        <f t="shared" si="51"/>
        <v>30111.359999999997</v>
      </c>
      <c r="S563" s="101">
        <f t="shared" si="52"/>
        <v>0</v>
      </c>
      <c r="T563" s="103">
        <f t="shared" si="53"/>
        <v>0</v>
      </c>
    </row>
    <row r="564" spans="1:20" x14ac:dyDescent="0.25">
      <c r="B564" s="99">
        <v>560</v>
      </c>
      <c r="C564" s="100" t="s">
        <v>930</v>
      </c>
      <c r="D564" s="100">
        <v>107</v>
      </c>
      <c r="E564" s="100" t="s">
        <v>1133</v>
      </c>
      <c r="F564" s="101">
        <v>5.7</v>
      </c>
      <c r="G564" s="101">
        <v>60990</v>
      </c>
      <c r="H564" s="100" t="s">
        <v>1157</v>
      </c>
      <c r="I564" s="101">
        <v>2.74</v>
      </c>
      <c r="J564" s="101">
        <v>29389.69</v>
      </c>
      <c r="K564" s="100" t="s">
        <v>399</v>
      </c>
      <c r="L564" s="100">
        <v>31528.62</v>
      </c>
      <c r="M564" s="102">
        <v>5.0500000000000003E-2</v>
      </c>
      <c r="N564" s="100"/>
      <c r="O564" s="101">
        <f t="shared" si="49"/>
        <v>31600.31</v>
      </c>
      <c r="P564" s="101">
        <f t="shared" si="50"/>
        <v>60918.31</v>
      </c>
      <c r="Q564" s="101">
        <f t="shared" si="54"/>
        <v>29389.69</v>
      </c>
      <c r="R564" s="101">
        <f t="shared" si="51"/>
        <v>31528.62</v>
      </c>
      <c r="S564" s="101">
        <f t="shared" si="52"/>
        <v>0</v>
      </c>
      <c r="T564" s="103">
        <f t="shared" si="53"/>
        <v>0</v>
      </c>
    </row>
    <row r="565" spans="1:20" x14ac:dyDescent="0.25">
      <c r="B565" s="99">
        <v>561</v>
      </c>
      <c r="C565" s="100" t="s">
        <v>930</v>
      </c>
      <c r="D565" s="100">
        <v>116</v>
      </c>
      <c r="E565" s="100" t="s">
        <v>1158</v>
      </c>
      <c r="F565" s="101">
        <v>5.35</v>
      </c>
      <c r="G565" s="101">
        <v>62060</v>
      </c>
      <c r="H565" s="100" t="s">
        <v>1157</v>
      </c>
      <c r="I565" s="101">
        <v>2.62</v>
      </c>
      <c r="J565" s="101">
        <v>30469.72</v>
      </c>
      <c r="K565" s="100" t="s">
        <v>399</v>
      </c>
      <c r="L565" s="100">
        <v>31512.560000000001</v>
      </c>
      <c r="M565" s="102">
        <v>4.7100000000000003E-2</v>
      </c>
      <c r="N565" s="100"/>
      <c r="O565" s="101">
        <f t="shared" si="49"/>
        <v>31590.28</v>
      </c>
      <c r="P565" s="101">
        <f t="shared" si="50"/>
        <v>61982.279999999992</v>
      </c>
      <c r="Q565" s="101">
        <f t="shared" si="54"/>
        <v>30469.72</v>
      </c>
      <c r="R565" s="101">
        <f t="shared" si="51"/>
        <v>31512.55999999999</v>
      </c>
      <c r="S565" s="101">
        <f t="shared" si="52"/>
        <v>0</v>
      </c>
      <c r="T565" s="103">
        <f t="shared" si="53"/>
        <v>0</v>
      </c>
    </row>
    <row r="566" spans="1:20" x14ac:dyDescent="0.25">
      <c r="B566" s="99">
        <v>562</v>
      </c>
      <c r="C566" s="100" t="s">
        <v>1121</v>
      </c>
      <c r="D566" s="100">
        <v>31</v>
      </c>
      <c r="E566" s="100" t="s">
        <v>1145</v>
      </c>
      <c r="F566" s="101">
        <v>20.8</v>
      </c>
      <c r="G566" s="101">
        <v>64480</v>
      </c>
      <c r="H566" s="100" t="s">
        <v>1159</v>
      </c>
      <c r="I566" s="101">
        <v>9.9</v>
      </c>
      <c r="J566" s="101">
        <v>30710.77</v>
      </c>
      <c r="K566" s="100" t="s">
        <v>399</v>
      </c>
      <c r="L566" s="100">
        <v>33748.46</v>
      </c>
      <c r="M566" s="102">
        <v>4.9700000000000001E-2</v>
      </c>
      <c r="N566" s="100"/>
      <c r="O566" s="101">
        <f t="shared" si="49"/>
        <v>33769.229999999996</v>
      </c>
      <c r="P566" s="101">
        <f t="shared" si="50"/>
        <v>64459.23000000001</v>
      </c>
      <c r="Q566" s="101">
        <f t="shared" si="54"/>
        <v>30710.770000000004</v>
      </c>
      <c r="R566" s="101">
        <f t="shared" si="51"/>
        <v>33748.460000000006</v>
      </c>
      <c r="S566" s="101">
        <f t="shared" si="52"/>
        <v>0</v>
      </c>
      <c r="T566" s="103">
        <f t="shared" si="53"/>
        <v>0</v>
      </c>
    </row>
    <row r="567" spans="1:20" x14ac:dyDescent="0.25">
      <c r="B567" s="99">
        <v>563</v>
      </c>
      <c r="C567" s="100" t="s">
        <v>1134</v>
      </c>
      <c r="D567" s="100">
        <v>181</v>
      </c>
      <c r="E567" s="100" t="s">
        <v>1160</v>
      </c>
      <c r="F567" s="101">
        <v>3.65</v>
      </c>
      <c r="G567" s="101">
        <v>66065</v>
      </c>
      <c r="H567" s="100" t="s">
        <v>1161</v>
      </c>
      <c r="I567" s="101">
        <v>1.81</v>
      </c>
      <c r="J567" s="101">
        <v>32882.269999999997</v>
      </c>
      <c r="K567" s="100" t="s">
        <v>399</v>
      </c>
      <c r="L567" s="100">
        <v>33061.46</v>
      </c>
      <c r="M567" s="102">
        <v>5.4800000000000001E-2</v>
      </c>
      <c r="N567" s="100"/>
      <c r="O567" s="101">
        <f t="shared" si="49"/>
        <v>33182.730000000003</v>
      </c>
      <c r="P567" s="101">
        <f t="shared" si="50"/>
        <v>65943.73</v>
      </c>
      <c r="Q567" s="101">
        <f t="shared" si="54"/>
        <v>32882.269999999997</v>
      </c>
      <c r="R567" s="101">
        <f t="shared" si="51"/>
        <v>33061.46</v>
      </c>
      <c r="S567" s="101">
        <f t="shared" si="52"/>
        <v>0</v>
      </c>
      <c r="T567" s="103">
        <f t="shared" si="53"/>
        <v>0</v>
      </c>
    </row>
    <row r="568" spans="1:20" x14ac:dyDescent="0.25">
      <c r="B568" s="99">
        <v>564</v>
      </c>
      <c r="C568" s="100" t="s">
        <v>930</v>
      </c>
      <c r="D568" s="100">
        <v>100</v>
      </c>
      <c r="E568" s="100" t="s">
        <v>1142</v>
      </c>
      <c r="F568" s="101">
        <v>6.4</v>
      </c>
      <c r="G568" s="101">
        <v>64000</v>
      </c>
      <c r="H568" s="100" t="s">
        <v>1162</v>
      </c>
      <c r="I568" s="101">
        <v>3.05</v>
      </c>
      <c r="J568" s="101">
        <v>30567</v>
      </c>
      <c r="K568" s="100" t="s">
        <v>399</v>
      </c>
      <c r="L568" s="100">
        <v>33366</v>
      </c>
      <c r="M568" s="102">
        <v>5.6899999999999999E-2</v>
      </c>
      <c r="N568" s="100"/>
      <c r="O568" s="101">
        <f t="shared" si="49"/>
        <v>33433</v>
      </c>
      <c r="P568" s="101">
        <f t="shared" si="50"/>
        <v>63933</v>
      </c>
      <c r="Q568" s="101">
        <f t="shared" si="54"/>
        <v>30567</v>
      </c>
      <c r="R568" s="101">
        <f t="shared" si="51"/>
        <v>33366</v>
      </c>
      <c r="S568" s="101">
        <f t="shared" si="52"/>
        <v>0</v>
      </c>
      <c r="T568" s="103">
        <f t="shared" si="53"/>
        <v>0</v>
      </c>
    </row>
    <row r="569" spans="1:20" x14ac:dyDescent="0.25">
      <c r="B569" s="99">
        <v>565</v>
      </c>
      <c r="C569" s="100" t="s">
        <v>930</v>
      </c>
      <c r="D569" s="100">
        <v>123</v>
      </c>
      <c r="E569" s="100" t="s">
        <v>1163</v>
      </c>
      <c r="F569" s="101">
        <v>5.2</v>
      </c>
      <c r="G569" s="101">
        <v>63960</v>
      </c>
      <c r="H569" s="100" t="s">
        <v>1162</v>
      </c>
      <c r="I569" s="101">
        <v>2.4700000000000002</v>
      </c>
      <c r="J569" s="101">
        <v>30463.41</v>
      </c>
      <c r="K569" s="100" t="s">
        <v>399</v>
      </c>
      <c r="L569" s="100">
        <v>33414.18</v>
      </c>
      <c r="M569" s="102">
        <v>4.9599999999999998E-2</v>
      </c>
      <c r="N569" s="100"/>
      <c r="O569" s="101">
        <f t="shared" si="49"/>
        <v>33496.589999999997</v>
      </c>
      <c r="P569" s="101">
        <f t="shared" si="50"/>
        <v>63877.59</v>
      </c>
      <c r="Q569" s="101">
        <f t="shared" si="54"/>
        <v>30463.41</v>
      </c>
      <c r="R569" s="101">
        <f t="shared" si="51"/>
        <v>33414.179999999993</v>
      </c>
      <c r="S569" s="101">
        <f t="shared" si="52"/>
        <v>0</v>
      </c>
      <c r="T569" s="103">
        <f t="shared" si="53"/>
        <v>0</v>
      </c>
    </row>
    <row r="570" spans="1:20" ht="15.75" thickBot="1" x14ac:dyDescent="0.3">
      <c r="B570" s="104">
        <v>566</v>
      </c>
      <c r="C570" s="105" t="s">
        <v>1069</v>
      </c>
      <c r="D570" s="105">
        <v>69</v>
      </c>
      <c r="E570" s="105" t="s">
        <v>1152</v>
      </c>
      <c r="F570" s="106">
        <v>9.5500000000000007</v>
      </c>
      <c r="G570" s="106">
        <v>65895</v>
      </c>
      <c r="H570" s="105" t="s">
        <v>1162</v>
      </c>
      <c r="I570" s="106">
        <v>4.6500000000000004</v>
      </c>
      <c r="J570" s="106">
        <v>32131.23</v>
      </c>
      <c r="K570" s="105" t="s">
        <v>399</v>
      </c>
      <c r="L570" s="105">
        <v>33717.54</v>
      </c>
      <c r="M570" s="107">
        <v>4.8599999999999997E-2</v>
      </c>
      <c r="N570" s="105"/>
      <c r="O570" s="106">
        <f t="shared" si="49"/>
        <v>33763.770000000004</v>
      </c>
      <c r="P570" s="106">
        <f t="shared" si="50"/>
        <v>65848.77</v>
      </c>
      <c r="Q570" s="106">
        <f t="shared" si="54"/>
        <v>32131.230000000003</v>
      </c>
      <c r="R570" s="106">
        <f t="shared" si="51"/>
        <v>33717.54</v>
      </c>
      <c r="S570" s="106">
        <f t="shared" si="52"/>
        <v>0</v>
      </c>
      <c r="T570" s="108">
        <f t="shared" si="53"/>
        <v>0</v>
      </c>
    </row>
    <row r="572" spans="1:20" x14ac:dyDescent="0.25">
      <c r="A572" t="s">
        <v>149</v>
      </c>
    </row>
  </sheetData>
  <sortState xmlns:xlrd2="http://schemas.microsoft.com/office/spreadsheetml/2017/richdata2" ref="C5:M570">
    <sortCondition ref="K5:K57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FB99-8A46-4D0D-9AF1-6AAC73A585AC}">
  <dimension ref="B2:X102"/>
  <sheetViews>
    <sheetView topLeftCell="B61" workbookViewId="0">
      <selection activeCell="H52" sqref="H52"/>
    </sheetView>
  </sheetViews>
  <sheetFormatPr defaultRowHeight="15" x14ac:dyDescent="0.25"/>
  <cols>
    <col min="14" max="14" width="14.28515625" customWidth="1"/>
  </cols>
  <sheetData>
    <row r="2" spans="2:16" x14ac:dyDescent="0.25">
      <c r="C2" s="123">
        <v>45603</v>
      </c>
    </row>
    <row r="3" spans="2:16" x14ac:dyDescent="0.25">
      <c r="C3" t="s">
        <v>1521</v>
      </c>
      <c r="N3" t="str">
        <f>RIGHT(C3,9)</f>
        <v>10,248.06</v>
      </c>
      <c r="P3">
        <f t="shared" ref="P3:P66" si="0">VALUE(N3)</f>
        <v>10248.06</v>
      </c>
    </row>
    <row r="4" spans="2:16" x14ac:dyDescent="0.25">
      <c r="C4" t="s">
        <v>1479</v>
      </c>
      <c r="P4">
        <f t="shared" si="0"/>
        <v>0</v>
      </c>
    </row>
    <row r="5" spans="2:16" x14ac:dyDescent="0.25">
      <c r="C5" t="s">
        <v>1522</v>
      </c>
      <c r="N5" t="str">
        <f>RIGHT(C5,12)</f>
        <v>1,024,806.00</v>
      </c>
      <c r="P5">
        <f t="shared" si="0"/>
        <v>1024806</v>
      </c>
    </row>
    <row r="6" spans="2:16" x14ac:dyDescent="0.25">
      <c r="C6" t="s">
        <v>1523</v>
      </c>
      <c r="N6" t="str">
        <f>RIGHT(C6,12)</f>
        <v>1,179,295.00</v>
      </c>
      <c r="P6">
        <f t="shared" si="0"/>
        <v>1179295</v>
      </c>
    </row>
    <row r="7" spans="2:16" x14ac:dyDescent="0.25">
      <c r="C7" t="s">
        <v>1610</v>
      </c>
      <c r="N7" t="str">
        <f>RIGHT(C7,12)</f>
        <v xml:space="preserve"> $154,489.00</v>
      </c>
      <c r="P7">
        <f t="shared" si="0"/>
        <v>154489</v>
      </c>
    </row>
    <row r="8" spans="2:16" x14ac:dyDescent="0.25">
      <c r="B8" t="b">
        <f>LEFT(C8,50) = LEFT(C60,50)</f>
        <v>1</v>
      </c>
      <c r="C8" t="s">
        <v>1524</v>
      </c>
      <c r="N8" t="str">
        <f>RIGHT(C8,8)</f>
        <v>3,045.00</v>
      </c>
      <c r="P8">
        <f>VALUE(N8)</f>
        <v>3045</v>
      </c>
    </row>
    <row r="9" spans="2:16" x14ac:dyDescent="0.25">
      <c r="B9" t="b">
        <f t="shared" ref="B9:B19" si="1">LEFT(C9,50) = LEFT(C61,50)</f>
        <v>1</v>
      </c>
      <c r="C9" t="s">
        <v>1525</v>
      </c>
      <c r="N9" t="str">
        <f t="shared" ref="N9:N44" si="2">RIGHT(C9,8)</f>
        <v>1,702.00</v>
      </c>
      <c r="P9">
        <f t="shared" si="0"/>
        <v>1702</v>
      </c>
    </row>
    <row r="10" spans="2:16" x14ac:dyDescent="0.25">
      <c r="B10" t="b">
        <f t="shared" si="1"/>
        <v>1</v>
      </c>
      <c r="C10" t="s">
        <v>1526</v>
      </c>
      <c r="N10" t="str">
        <f t="shared" si="2"/>
        <v>1,924.00</v>
      </c>
      <c r="P10">
        <f t="shared" si="0"/>
        <v>1924</v>
      </c>
    </row>
    <row r="11" spans="2:16" x14ac:dyDescent="0.25">
      <c r="B11" t="b">
        <f t="shared" si="1"/>
        <v>1</v>
      </c>
      <c r="C11" t="s">
        <v>1527</v>
      </c>
      <c r="N11" t="str">
        <f t="shared" si="2"/>
        <v>1,464.00</v>
      </c>
      <c r="P11">
        <f t="shared" si="0"/>
        <v>1464</v>
      </c>
    </row>
    <row r="12" spans="2:16" x14ac:dyDescent="0.25">
      <c r="B12" t="b">
        <f t="shared" si="1"/>
        <v>1</v>
      </c>
      <c r="C12" t="s">
        <v>1528</v>
      </c>
      <c r="N12" t="str">
        <f t="shared" si="2"/>
        <v>4,628.00</v>
      </c>
      <c r="P12">
        <f t="shared" si="0"/>
        <v>4628</v>
      </c>
    </row>
    <row r="13" spans="2:16" x14ac:dyDescent="0.25">
      <c r="B13" t="b">
        <f t="shared" si="1"/>
        <v>1</v>
      </c>
      <c r="C13" t="s">
        <v>1529</v>
      </c>
      <c r="N13" t="str">
        <f t="shared" si="2"/>
        <v>1,092.00</v>
      </c>
      <c r="P13">
        <f t="shared" si="0"/>
        <v>1092</v>
      </c>
    </row>
    <row r="14" spans="2:16" x14ac:dyDescent="0.25">
      <c r="B14" t="b">
        <f t="shared" si="1"/>
        <v>1</v>
      </c>
      <c r="C14" t="s">
        <v>1530</v>
      </c>
      <c r="N14" t="str">
        <f t="shared" si="2"/>
        <v>1,120.00</v>
      </c>
      <c r="P14">
        <f t="shared" si="0"/>
        <v>1120</v>
      </c>
    </row>
    <row r="15" spans="2:16" x14ac:dyDescent="0.25">
      <c r="B15" t="b">
        <f t="shared" si="1"/>
        <v>1</v>
      </c>
      <c r="C15" t="s">
        <v>1531</v>
      </c>
      <c r="N15" t="str">
        <f t="shared" si="2"/>
        <v>1,330.00</v>
      </c>
      <c r="P15">
        <f t="shared" si="0"/>
        <v>1330</v>
      </c>
    </row>
    <row r="16" spans="2:16" x14ac:dyDescent="0.25">
      <c r="B16" t="b">
        <f t="shared" si="1"/>
        <v>1</v>
      </c>
      <c r="C16" t="s">
        <v>1532</v>
      </c>
      <c r="N16" t="str">
        <f t="shared" si="2"/>
        <v>3,616.00</v>
      </c>
      <c r="P16">
        <f t="shared" si="0"/>
        <v>3616</v>
      </c>
    </row>
    <row r="17" spans="2:21" x14ac:dyDescent="0.25">
      <c r="B17" t="b">
        <f t="shared" si="1"/>
        <v>1</v>
      </c>
      <c r="C17" t="s">
        <v>1533</v>
      </c>
      <c r="N17" t="str">
        <f t="shared" si="2"/>
        <v>2,352.00</v>
      </c>
      <c r="P17">
        <f t="shared" si="0"/>
        <v>2352</v>
      </c>
    </row>
    <row r="18" spans="2:21" x14ac:dyDescent="0.25">
      <c r="B18" s="125" t="b">
        <f t="shared" si="1"/>
        <v>0</v>
      </c>
      <c r="C18" s="125" t="s">
        <v>1534</v>
      </c>
      <c r="D18" s="125"/>
      <c r="E18" s="125"/>
      <c r="F18" s="125"/>
      <c r="G18" s="125"/>
      <c r="H18" s="125"/>
      <c r="I18" s="125"/>
      <c r="J18" s="125"/>
      <c r="N18" t="str">
        <f t="shared" si="2"/>
        <v>2,100.00</v>
      </c>
      <c r="P18">
        <f t="shared" si="0"/>
        <v>2100</v>
      </c>
      <c r="R18" t="s">
        <v>1614</v>
      </c>
      <c r="U18">
        <f>P18+P19+P24+P31</f>
        <v>8310</v>
      </c>
    </row>
    <row r="19" spans="2:21" x14ac:dyDescent="0.25">
      <c r="B19" s="125" t="b">
        <f t="shared" si="1"/>
        <v>0</v>
      </c>
      <c r="C19" s="125" t="s">
        <v>1535</v>
      </c>
      <c r="D19" s="125"/>
      <c r="E19" s="125"/>
      <c r="F19" s="125"/>
      <c r="G19" s="125"/>
      <c r="H19" s="125"/>
      <c r="I19" s="125"/>
      <c r="J19" s="125"/>
      <c r="N19" t="str">
        <f t="shared" si="2"/>
        <v>1,890.00</v>
      </c>
      <c r="P19">
        <f t="shared" si="0"/>
        <v>1890</v>
      </c>
    </row>
    <row r="20" spans="2:21" x14ac:dyDescent="0.25">
      <c r="B20" t="b">
        <f>LEFT(C20,50) = LEFT(C70,50)</f>
        <v>1</v>
      </c>
      <c r="C20" t="s">
        <v>1536</v>
      </c>
      <c r="N20" t="str">
        <f t="shared" si="2"/>
        <v>2,170.00</v>
      </c>
      <c r="P20">
        <f t="shared" si="0"/>
        <v>2170</v>
      </c>
    </row>
    <row r="21" spans="2:21" x14ac:dyDescent="0.25">
      <c r="B21" t="b">
        <f t="shared" ref="B21:B23" si="3">LEFT(C21,50) = LEFT(C71,50)</f>
        <v>1</v>
      </c>
      <c r="C21" t="s">
        <v>1537</v>
      </c>
      <c r="N21" t="str">
        <f t="shared" si="2"/>
        <v>4,860.00</v>
      </c>
      <c r="P21">
        <f t="shared" si="0"/>
        <v>4860</v>
      </c>
    </row>
    <row r="22" spans="2:21" x14ac:dyDescent="0.25">
      <c r="B22" t="b">
        <f t="shared" si="3"/>
        <v>1</v>
      </c>
      <c r="C22" t="s">
        <v>1538</v>
      </c>
      <c r="N22" t="str">
        <f t="shared" si="2"/>
        <v>1,100.00</v>
      </c>
      <c r="P22">
        <f t="shared" si="0"/>
        <v>1100</v>
      </c>
    </row>
    <row r="23" spans="2:21" x14ac:dyDescent="0.25">
      <c r="B23" t="b">
        <f t="shared" si="3"/>
        <v>1</v>
      </c>
      <c r="C23" t="s">
        <v>1539</v>
      </c>
      <c r="N23" t="str">
        <f t="shared" si="2"/>
        <v>1,155.00</v>
      </c>
      <c r="P23">
        <f t="shared" si="0"/>
        <v>1155</v>
      </c>
    </row>
    <row r="24" spans="2:21" x14ac:dyDescent="0.25">
      <c r="B24" s="125" t="b">
        <f>LEFT(C24,50) = LEFT(C74,50)</f>
        <v>0</v>
      </c>
      <c r="C24" s="125" t="s">
        <v>1540</v>
      </c>
      <c r="D24" s="125"/>
      <c r="E24" s="125"/>
      <c r="F24" s="125"/>
      <c r="G24" s="125"/>
      <c r="H24" s="125"/>
      <c r="I24" s="125"/>
      <c r="J24" s="125"/>
      <c r="N24" t="str">
        <f t="shared" si="2"/>
        <v>2,800.00</v>
      </c>
      <c r="P24">
        <f t="shared" si="0"/>
        <v>2800</v>
      </c>
    </row>
    <row r="25" spans="2:21" x14ac:dyDescent="0.25">
      <c r="B25" t="b">
        <f>LEFT(C25,50) = LEFT(C74,50)</f>
        <v>1</v>
      </c>
      <c r="C25" t="s">
        <v>1541</v>
      </c>
      <c r="N25" t="str">
        <f t="shared" si="2"/>
        <v>3,500.00</v>
      </c>
      <c r="P25">
        <f t="shared" si="0"/>
        <v>3500</v>
      </c>
    </row>
    <row r="26" spans="2:21" x14ac:dyDescent="0.25">
      <c r="B26" t="b">
        <f t="shared" ref="B26:B31" si="4">LEFT(C26,50) = LEFT(C75,50)</f>
        <v>1</v>
      </c>
      <c r="C26" t="s">
        <v>1542</v>
      </c>
      <c r="N26" t="str">
        <f t="shared" si="2"/>
        <v>1,025.00</v>
      </c>
      <c r="P26">
        <f t="shared" si="0"/>
        <v>1025</v>
      </c>
    </row>
    <row r="27" spans="2:21" x14ac:dyDescent="0.25">
      <c r="B27" t="b">
        <f t="shared" si="4"/>
        <v>1</v>
      </c>
      <c r="C27" t="s">
        <v>1543</v>
      </c>
      <c r="N27" t="str">
        <f t="shared" si="2"/>
        <v>1,404.00</v>
      </c>
      <c r="P27">
        <f t="shared" si="0"/>
        <v>1404</v>
      </c>
    </row>
    <row r="28" spans="2:21" x14ac:dyDescent="0.25">
      <c r="B28" t="b">
        <f t="shared" si="4"/>
        <v>1</v>
      </c>
      <c r="C28" t="s">
        <v>1544</v>
      </c>
      <c r="N28" t="str">
        <f t="shared" si="2"/>
        <v>1,575.00</v>
      </c>
      <c r="P28">
        <f t="shared" si="0"/>
        <v>1575</v>
      </c>
    </row>
    <row r="29" spans="2:21" x14ac:dyDescent="0.25">
      <c r="B29" t="b">
        <f t="shared" si="4"/>
        <v>1</v>
      </c>
      <c r="C29" t="s">
        <v>1545</v>
      </c>
      <c r="N29" t="str">
        <f t="shared" si="2"/>
        <v>1,390.00</v>
      </c>
      <c r="P29">
        <f t="shared" si="0"/>
        <v>1390</v>
      </c>
    </row>
    <row r="30" spans="2:21" x14ac:dyDescent="0.25">
      <c r="B30" t="b">
        <f t="shared" si="4"/>
        <v>1</v>
      </c>
      <c r="C30" t="s">
        <v>1546</v>
      </c>
      <c r="N30" t="str">
        <f t="shared" si="2"/>
        <v>1,837.00</v>
      </c>
      <c r="P30">
        <f t="shared" si="0"/>
        <v>1837</v>
      </c>
    </row>
    <row r="31" spans="2:21" x14ac:dyDescent="0.25">
      <c r="B31" s="125" t="b">
        <f t="shared" si="4"/>
        <v>0</v>
      </c>
      <c r="C31" s="125" t="s">
        <v>1547</v>
      </c>
      <c r="D31" s="125"/>
      <c r="E31" s="125"/>
      <c r="F31" s="125"/>
      <c r="G31" s="125"/>
      <c r="H31" s="125"/>
      <c r="I31" s="125"/>
      <c r="J31" s="125"/>
      <c r="N31" t="str">
        <f t="shared" si="2"/>
        <v>1,520.00</v>
      </c>
      <c r="P31">
        <f t="shared" si="0"/>
        <v>1520</v>
      </c>
    </row>
    <row r="32" spans="2:21" x14ac:dyDescent="0.25">
      <c r="B32" t="b">
        <f>LEFT(C32,50) = LEFT(C80,50)</f>
        <v>1</v>
      </c>
      <c r="C32" t="s">
        <v>1548</v>
      </c>
      <c r="N32" t="str">
        <f t="shared" si="2"/>
        <v>3,850.00</v>
      </c>
      <c r="P32">
        <f t="shared" si="0"/>
        <v>3850</v>
      </c>
    </row>
    <row r="33" spans="2:20" x14ac:dyDescent="0.25">
      <c r="B33" t="b">
        <f t="shared" ref="B33:B44" si="5">LEFT(C33,50) = LEFT(C81,50)</f>
        <v>1</v>
      </c>
      <c r="C33" t="s">
        <v>1549</v>
      </c>
      <c r="N33" t="str">
        <f t="shared" si="2"/>
        <v>3,685.00</v>
      </c>
      <c r="P33">
        <f t="shared" si="0"/>
        <v>3685</v>
      </c>
    </row>
    <row r="34" spans="2:20" x14ac:dyDescent="0.25">
      <c r="B34" t="b">
        <f t="shared" si="5"/>
        <v>1</v>
      </c>
      <c r="C34" t="s">
        <v>1550</v>
      </c>
      <c r="N34" t="str">
        <f t="shared" si="2"/>
        <v>4,380.00</v>
      </c>
      <c r="P34">
        <f t="shared" si="0"/>
        <v>4380</v>
      </c>
    </row>
    <row r="35" spans="2:20" x14ac:dyDescent="0.25">
      <c r="B35" t="b">
        <f t="shared" si="5"/>
        <v>1</v>
      </c>
      <c r="C35" t="s">
        <v>1551</v>
      </c>
      <c r="N35" t="str">
        <f t="shared" si="2"/>
        <v>4,430.00</v>
      </c>
      <c r="P35">
        <f t="shared" si="0"/>
        <v>4430</v>
      </c>
    </row>
    <row r="36" spans="2:20" x14ac:dyDescent="0.25">
      <c r="B36" t="b">
        <f t="shared" si="5"/>
        <v>1</v>
      </c>
      <c r="C36" t="s">
        <v>1552</v>
      </c>
      <c r="N36" t="str">
        <f t="shared" si="2"/>
        <v>4,180.00</v>
      </c>
      <c r="P36">
        <f t="shared" si="0"/>
        <v>4180</v>
      </c>
    </row>
    <row r="37" spans="2:20" x14ac:dyDescent="0.25">
      <c r="B37" t="b">
        <f t="shared" si="5"/>
        <v>1</v>
      </c>
      <c r="C37" t="s">
        <v>1553</v>
      </c>
      <c r="N37" t="str">
        <f t="shared" si="2"/>
        <v>7,695.00</v>
      </c>
      <c r="P37">
        <f t="shared" si="0"/>
        <v>7695</v>
      </c>
    </row>
    <row r="38" spans="2:20" x14ac:dyDescent="0.25">
      <c r="B38" t="b">
        <f t="shared" si="5"/>
        <v>1</v>
      </c>
      <c r="C38" t="s">
        <v>1554</v>
      </c>
      <c r="N38" t="str">
        <f t="shared" si="2"/>
        <v>3,275.00</v>
      </c>
      <c r="P38">
        <f t="shared" si="0"/>
        <v>3275</v>
      </c>
    </row>
    <row r="39" spans="2:20" x14ac:dyDescent="0.25">
      <c r="B39" t="b">
        <f t="shared" si="5"/>
        <v>1</v>
      </c>
      <c r="C39" t="s">
        <v>1555</v>
      </c>
      <c r="N39" t="str">
        <f t="shared" si="2"/>
        <v>3,050.00</v>
      </c>
      <c r="P39">
        <f t="shared" si="0"/>
        <v>3050</v>
      </c>
    </row>
    <row r="40" spans="2:20" x14ac:dyDescent="0.25">
      <c r="B40" t="b">
        <f t="shared" si="5"/>
        <v>1</v>
      </c>
      <c r="C40" t="s">
        <v>1556</v>
      </c>
      <c r="N40" t="str">
        <f t="shared" si="2"/>
        <v>4,345.00</v>
      </c>
      <c r="P40">
        <f t="shared" si="0"/>
        <v>4345</v>
      </c>
    </row>
    <row r="41" spans="2:20" x14ac:dyDescent="0.25">
      <c r="B41" t="b">
        <f t="shared" si="5"/>
        <v>1</v>
      </c>
      <c r="C41" t="s">
        <v>1557</v>
      </c>
      <c r="N41" t="str">
        <f t="shared" si="2"/>
        <v>2,320.00</v>
      </c>
      <c r="P41">
        <f t="shared" si="0"/>
        <v>2320</v>
      </c>
    </row>
    <row r="42" spans="2:20" x14ac:dyDescent="0.25">
      <c r="B42" t="b">
        <f t="shared" si="5"/>
        <v>1</v>
      </c>
      <c r="C42" t="s">
        <v>1558</v>
      </c>
      <c r="N42" t="str">
        <f t="shared" si="2"/>
        <v>1,670.00</v>
      </c>
      <c r="P42">
        <f t="shared" si="0"/>
        <v>1670</v>
      </c>
    </row>
    <row r="43" spans="2:20" x14ac:dyDescent="0.25">
      <c r="B43" t="b">
        <f t="shared" si="5"/>
        <v>1</v>
      </c>
      <c r="C43" t="s">
        <v>1559</v>
      </c>
      <c r="N43" t="str">
        <f t="shared" si="2"/>
        <v>3,960.00</v>
      </c>
      <c r="P43">
        <f t="shared" si="0"/>
        <v>3960</v>
      </c>
    </row>
    <row r="44" spans="2:20" x14ac:dyDescent="0.25">
      <c r="B44" t="b">
        <f t="shared" si="5"/>
        <v>1</v>
      </c>
      <c r="C44" t="s">
        <v>1560</v>
      </c>
      <c r="N44" t="str">
        <f t="shared" si="2"/>
        <v>7,050.00</v>
      </c>
      <c r="P44">
        <f t="shared" si="0"/>
        <v>7050</v>
      </c>
      <c r="R44" t="s">
        <v>1611</v>
      </c>
      <c r="T44">
        <f>SUM(P8:P44)</f>
        <v>104489</v>
      </c>
    </row>
    <row r="45" spans="2:20" x14ac:dyDescent="0.25">
      <c r="C45" t="s">
        <v>1561</v>
      </c>
      <c r="N45" t="str">
        <f t="shared" ref="N45:N59" si="6">RIGHT(C45,11)</f>
        <v>$335,815.00</v>
      </c>
      <c r="P45">
        <f t="shared" si="0"/>
        <v>335815</v>
      </c>
    </row>
    <row r="46" spans="2:20" x14ac:dyDescent="0.25">
      <c r="C46" t="s">
        <v>1562</v>
      </c>
    </row>
    <row r="47" spans="2:20" x14ac:dyDescent="0.25">
      <c r="C47" t="s">
        <v>1563</v>
      </c>
      <c r="N47" t="str">
        <f t="shared" si="6"/>
        <v>$181,326.00</v>
      </c>
      <c r="P47">
        <f t="shared" si="0"/>
        <v>181326</v>
      </c>
    </row>
    <row r="48" spans="2:20" x14ac:dyDescent="0.25">
      <c r="C48" t="s">
        <v>1564</v>
      </c>
      <c r="N48" t="str">
        <f t="shared" si="6"/>
        <v>-156,520.00</v>
      </c>
      <c r="P48">
        <f t="shared" si="0"/>
        <v>-156520</v>
      </c>
    </row>
    <row r="49" spans="3:16" x14ac:dyDescent="0.25">
      <c r="C49" t="s">
        <v>1565</v>
      </c>
      <c r="N49" t="str">
        <f t="shared" si="6"/>
        <v xml:space="preserve"> $24,806.00</v>
      </c>
      <c r="P49">
        <f t="shared" si="0"/>
        <v>24806</v>
      </c>
    </row>
    <row r="50" spans="3:16" x14ac:dyDescent="0.25">
      <c r="C50" t="s">
        <v>1566</v>
      </c>
      <c r="N50" t="str">
        <f>RIGHT(C50,12)</f>
        <v>1,024,806.00</v>
      </c>
      <c r="P50">
        <f t="shared" si="0"/>
        <v>1024806</v>
      </c>
    </row>
    <row r="51" spans="3:16" x14ac:dyDescent="0.25">
      <c r="C51" t="s">
        <v>1522</v>
      </c>
      <c r="N51" t="str">
        <f>RIGHT(C51,12)</f>
        <v>1,024,806.00</v>
      </c>
      <c r="P51">
        <f t="shared" si="0"/>
        <v>1024806</v>
      </c>
    </row>
    <row r="52" spans="3:16" x14ac:dyDescent="0.25">
      <c r="C52" t="s">
        <v>1567</v>
      </c>
    </row>
    <row r="53" spans="3:16" x14ac:dyDescent="0.25">
      <c r="C53" t="s">
        <v>1616</v>
      </c>
      <c r="N53" t="str">
        <f t="shared" si="6"/>
        <v xml:space="preserve">  </v>
      </c>
    </row>
    <row r="54" spans="3:16" x14ac:dyDescent="0.25">
      <c r="C54" s="123">
        <v>45604</v>
      </c>
      <c r="N54" s="123">
        <v>45604</v>
      </c>
      <c r="P54" s="123"/>
    </row>
    <row r="55" spans="3:16" x14ac:dyDescent="0.25">
      <c r="C55" t="s">
        <v>1568</v>
      </c>
      <c r="N55" t="str">
        <f t="shared" si="6"/>
        <v xml:space="preserve"> $10,359.45</v>
      </c>
      <c r="P55">
        <f t="shared" si="0"/>
        <v>10359.450000000001</v>
      </c>
    </row>
    <row r="56" spans="3:16" x14ac:dyDescent="0.25">
      <c r="C56" t="s">
        <v>1479</v>
      </c>
    </row>
    <row r="57" spans="3:16" x14ac:dyDescent="0.25">
      <c r="C57" t="s">
        <v>1569</v>
      </c>
      <c r="N57" t="str">
        <f>RIGHT(C57,12)</f>
        <v>1,035,945.00</v>
      </c>
      <c r="P57">
        <f t="shared" si="0"/>
        <v>1035945</v>
      </c>
    </row>
    <row r="58" spans="3:16" x14ac:dyDescent="0.25">
      <c r="C58" t="s">
        <v>1523</v>
      </c>
      <c r="N58" t="str">
        <f>RIGHT(C58,12)</f>
        <v>1,179,295.00</v>
      </c>
      <c r="P58">
        <f t="shared" si="0"/>
        <v>1179295</v>
      </c>
    </row>
    <row r="59" spans="3:16" x14ac:dyDescent="0.25">
      <c r="C59" t="s">
        <v>1609</v>
      </c>
      <c r="N59" t="str">
        <f t="shared" si="6"/>
        <v>$143,350.00</v>
      </c>
      <c r="P59">
        <f t="shared" si="0"/>
        <v>143350</v>
      </c>
    </row>
    <row r="60" spans="3:16" x14ac:dyDescent="0.25">
      <c r="C60" t="s">
        <v>1570</v>
      </c>
      <c r="N60" t="str">
        <f t="shared" ref="N60:N92" si="7">RIGHT(C60,8)</f>
        <v>1,323.00</v>
      </c>
      <c r="P60">
        <f t="shared" si="0"/>
        <v>1323</v>
      </c>
    </row>
    <row r="61" spans="3:16" x14ac:dyDescent="0.25">
      <c r="C61" t="s">
        <v>1571</v>
      </c>
      <c r="N61" t="str">
        <f t="shared" si="7"/>
        <v>1,242.00</v>
      </c>
      <c r="P61">
        <f t="shared" si="0"/>
        <v>1242</v>
      </c>
    </row>
    <row r="62" spans="3:16" x14ac:dyDescent="0.25">
      <c r="C62" t="s">
        <v>1572</v>
      </c>
      <c r="N62" t="str">
        <f t="shared" si="7"/>
        <v>1,118.00</v>
      </c>
      <c r="P62">
        <f t="shared" si="0"/>
        <v>1118</v>
      </c>
    </row>
    <row r="63" spans="3:16" x14ac:dyDescent="0.25">
      <c r="C63" t="s">
        <v>1573</v>
      </c>
      <c r="N63" t="str">
        <f t="shared" si="7"/>
        <v>1,944.00</v>
      </c>
      <c r="P63">
        <f t="shared" si="0"/>
        <v>1944</v>
      </c>
    </row>
    <row r="64" spans="3:16" x14ac:dyDescent="0.25">
      <c r="C64" t="s">
        <v>1574</v>
      </c>
      <c r="N64" t="str">
        <f t="shared" si="7"/>
        <v>1,430.00</v>
      </c>
      <c r="P64">
        <f t="shared" si="0"/>
        <v>1430</v>
      </c>
    </row>
    <row r="65" spans="3:16" x14ac:dyDescent="0.25">
      <c r="C65" t="s">
        <v>1575</v>
      </c>
      <c r="N65" t="str">
        <f>RIGHT(C65,7)</f>
        <v>$930.00</v>
      </c>
      <c r="P65">
        <f t="shared" si="0"/>
        <v>930</v>
      </c>
    </row>
    <row r="66" spans="3:16" x14ac:dyDescent="0.25">
      <c r="C66" t="s">
        <v>1576</v>
      </c>
      <c r="N66" t="str">
        <f>RIGHT(C66,7)</f>
        <v>$966.00</v>
      </c>
      <c r="P66">
        <f t="shared" si="0"/>
        <v>966</v>
      </c>
    </row>
    <row r="67" spans="3:16" x14ac:dyDescent="0.25">
      <c r="C67" t="s">
        <v>1577</v>
      </c>
      <c r="N67" t="str">
        <f t="shared" si="7"/>
        <v>1,090.00</v>
      </c>
      <c r="P67">
        <f t="shared" ref="P67:P102" si="8">VALUE(N67)</f>
        <v>1090</v>
      </c>
    </row>
    <row r="68" spans="3:16" x14ac:dyDescent="0.25">
      <c r="C68" t="s">
        <v>1578</v>
      </c>
      <c r="N68" t="str">
        <f t="shared" si="7"/>
        <v>4,544.00</v>
      </c>
      <c r="P68">
        <f t="shared" si="8"/>
        <v>4544</v>
      </c>
    </row>
    <row r="69" spans="3:16" x14ac:dyDescent="0.25">
      <c r="C69" t="s">
        <v>1579</v>
      </c>
      <c r="N69" t="str">
        <f t="shared" si="7"/>
        <v>2,310.00</v>
      </c>
      <c r="P69">
        <f t="shared" si="8"/>
        <v>2310</v>
      </c>
    </row>
    <row r="70" spans="3:16" x14ac:dyDescent="0.25">
      <c r="C70" t="s">
        <v>1580</v>
      </c>
      <c r="N70" t="str">
        <f t="shared" si="7"/>
        <v>2,380.00</v>
      </c>
      <c r="P70">
        <f t="shared" si="8"/>
        <v>2380</v>
      </c>
    </row>
    <row r="71" spans="3:16" x14ac:dyDescent="0.25">
      <c r="C71" t="s">
        <v>1581</v>
      </c>
      <c r="N71" t="str">
        <f t="shared" si="7"/>
        <v>5,100.00</v>
      </c>
      <c r="P71">
        <f t="shared" si="8"/>
        <v>5100</v>
      </c>
    </row>
    <row r="72" spans="3:16" x14ac:dyDescent="0.25">
      <c r="C72" t="s">
        <v>1582</v>
      </c>
      <c r="N72" t="str">
        <f t="shared" si="7"/>
        <v>1,120.00</v>
      </c>
      <c r="P72">
        <f t="shared" si="8"/>
        <v>1120</v>
      </c>
    </row>
    <row r="73" spans="3:16" x14ac:dyDescent="0.25">
      <c r="C73" t="s">
        <v>1583</v>
      </c>
      <c r="N73" t="str">
        <f t="shared" si="7"/>
        <v>1,177.00</v>
      </c>
      <c r="P73">
        <f t="shared" si="8"/>
        <v>1177</v>
      </c>
    </row>
    <row r="74" spans="3:16" x14ac:dyDescent="0.25">
      <c r="C74" t="s">
        <v>1584</v>
      </c>
      <c r="N74" t="str">
        <f t="shared" si="7"/>
        <v>2,562.00</v>
      </c>
      <c r="P74">
        <f t="shared" si="8"/>
        <v>2562</v>
      </c>
    </row>
    <row r="75" spans="3:16" x14ac:dyDescent="0.25">
      <c r="C75" t="s">
        <v>1585</v>
      </c>
      <c r="N75" t="str">
        <f>RIGHT(C75,7)</f>
        <v>$860.00</v>
      </c>
      <c r="P75">
        <f t="shared" si="8"/>
        <v>860</v>
      </c>
    </row>
    <row r="76" spans="3:16" x14ac:dyDescent="0.25">
      <c r="C76" t="s">
        <v>1586</v>
      </c>
      <c r="N76" t="str">
        <f t="shared" si="7"/>
        <v>1,164.00</v>
      </c>
      <c r="P76">
        <f t="shared" si="8"/>
        <v>1164</v>
      </c>
    </row>
    <row r="77" spans="3:16" x14ac:dyDescent="0.25">
      <c r="C77" t="s">
        <v>1587</v>
      </c>
      <c r="N77" t="str">
        <f t="shared" si="7"/>
        <v>1,295.00</v>
      </c>
      <c r="P77">
        <f t="shared" si="8"/>
        <v>1295</v>
      </c>
    </row>
    <row r="78" spans="3:16" x14ac:dyDescent="0.25">
      <c r="C78" t="s">
        <v>1588</v>
      </c>
      <c r="N78" t="str">
        <f t="shared" si="7"/>
        <v>1,165.00</v>
      </c>
      <c r="P78">
        <f t="shared" si="8"/>
        <v>1165</v>
      </c>
    </row>
    <row r="79" spans="3:16" x14ac:dyDescent="0.25">
      <c r="C79" t="s">
        <v>1589</v>
      </c>
      <c r="N79" t="str">
        <f t="shared" si="7"/>
        <v>1,870.00</v>
      </c>
      <c r="P79">
        <f t="shared" si="8"/>
        <v>1870</v>
      </c>
    </row>
    <row r="80" spans="3:16" x14ac:dyDescent="0.25">
      <c r="C80" t="s">
        <v>1548</v>
      </c>
      <c r="N80" t="str">
        <f t="shared" si="7"/>
        <v>3,850.00</v>
      </c>
      <c r="P80">
        <f t="shared" si="8"/>
        <v>3850</v>
      </c>
    </row>
    <row r="81" spans="3:24" x14ac:dyDescent="0.25">
      <c r="C81" t="s">
        <v>1549</v>
      </c>
      <c r="N81" t="str">
        <f t="shared" si="7"/>
        <v>3,685.00</v>
      </c>
      <c r="P81">
        <f t="shared" si="8"/>
        <v>3685</v>
      </c>
    </row>
    <row r="82" spans="3:24" x14ac:dyDescent="0.25">
      <c r="C82" t="s">
        <v>1590</v>
      </c>
      <c r="N82" t="str">
        <f t="shared" si="7"/>
        <v>4,440.00</v>
      </c>
      <c r="P82">
        <f t="shared" si="8"/>
        <v>4440</v>
      </c>
    </row>
    <row r="83" spans="3:24" x14ac:dyDescent="0.25">
      <c r="C83" t="s">
        <v>1591</v>
      </c>
      <c r="N83" t="str">
        <f t="shared" si="7"/>
        <v>5,150.00</v>
      </c>
      <c r="P83">
        <f t="shared" si="8"/>
        <v>5150</v>
      </c>
    </row>
    <row r="84" spans="3:24" x14ac:dyDescent="0.25">
      <c r="C84" t="s">
        <v>1592</v>
      </c>
      <c r="N84" t="str">
        <f t="shared" si="7"/>
        <v>4,235.00</v>
      </c>
      <c r="P84">
        <f t="shared" si="8"/>
        <v>4235</v>
      </c>
    </row>
    <row r="85" spans="3:24" x14ac:dyDescent="0.25">
      <c r="C85" t="s">
        <v>1593</v>
      </c>
      <c r="N85" t="str">
        <f t="shared" si="7"/>
        <v>8,455.00</v>
      </c>
      <c r="P85">
        <f t="shared" si="8"/>
        <v>8455</v>
      </c>
    </row>
    <row r="86" spans="3:24" x14ac:dyDescent="0.25">
      <c r="C86" t="s">
        <v>1594</v>
      </c>
      <c r="N86" t="str">
        <f t="shared" si="7"/>
        <v>3,925.00</v>
      </c>
      <c r="P86">
        <f t="shared" si="8"/>
        <v>3925</v>
      </c>
    </row>
    <row r="87" spans="3:24" x14ac:dyDescent="0.25">
      <c r="C87" t="s">
        <v>1595</v>
      </c>
      <c r="N87" t="str">
        <f t="shared" si="7"/>
        <v>3,560.00</v>
      </c>
      <c r="P87">
        <f t="shared" si="8"/>
        <v>3560</v>
      </c>
    </row>
    <row r="88" spans="3:24" x14ac:dyDescent="0.25">
      <c r="C88" t="s">
        <v>1596</v>
      </c>
      <c r="N88" t="str">
        <f t="shared" si="7"/>
        <v>4,400.00</v>
      </c>
      <c r="P88">
        <f t="shared" si="8"/>
        <v>4400</v>
      </c>
    </row>
    <row r="89" spans="3:24" x14ac:dyDescent="0.25">
      <c r="C89" t="s">
        <v>1597</v>
      </c>
      <c r="N89" t="str">
        <f t="shared" si="7"/>
        <v>2,760.00</v>
      </c>
      <c r="P89">
        <f t="shared" si="8"/>
        <v>2760</v>
      </c>
    </row>
    <row r="90" spans="3:24" x14ac:dyDescent="0.25">
      <c r="C90" t="s">
        <v>1598</v>
      </c>
      <c r="N90" t="str">
        <f t="shared" si="7"/>
        <v>2,300.00</v>
      </c>
      <c r="P90">
        <f t="shared" si="8"/>
        <v>2300</v>
      </c>
    </row>
    <row r="91" spans="3:24" x14ac:dyDescent="0.25">
      <c r="C91" t="s">
        <v>1599</v>
      </c>
      <c r="N91" t="str">
        <f t="shared" si="7"/>
        <v>3,300.00</v>
      </c>
      <c r="P91">
        <f t="shared" si="8"/>
        <v>3300</v>
      </c>
    </row>
    <row r="92" spans="3:24" x14ac:dyDescent="0.25">
      <c r="C92" t="s">
        <v>1600</v>
      </c>
      <c r="N92" t="str">
        <f t="shared" si="7"/>
        <v>7,700.00</v>
      </c>
      <c r="P92">
        <f t="shared" si="8"/>
        <v>7700</v>
      </c>
      <c r="R92" t="s">
        <v>1611</v>
      </c>
      <c r="T92">
        <f>SUM(P60:P92)</f>
        <v>93350</v>
      </c>
      <c r="V92" t="s">
        <v>1612</v>
      </c>
      <c r="X92">
        <f>T92-T44</f>
        <v>-11139</v>
      </c>
    </row>
    <row r="93" spans="3:24" x14ac:dyDescent="0.25">
      <c r="C93" t="s">
        <v>1601</v>
      </c>
      <c r="N93" t="str">
        <f t="shared" ref="N93:N96" si="9">RIGHT(C93,11)</f>
        <v>$301,935.00</v>
      </c>
      <c r="P93">
        <f t="shared" si="8"/>
        <v>301935</v>
      </c>
      <c r="R93" t="s">
        <v>1613</v>
      </c>
      <c r="V93" t="s">
        <v>1612</v>
      </c>
      <c r="X93">
        <f>P93-P45</f>
        <v>-33880</v>
      </c>
    </row>
    <row r="94" spans="3:24" x14ac:dyDescent="0.25">
      <c r="C94" t="s">
        <v>1602</v>
      </c>
    </row>
    <row r="95" spans="3:24" x14ac:dyDescent="0.25">
      <c r="C95" t="s">
        <v>1603</v>
      </c>
      <c r="N95" t="str">
        <f t="shared" si="9"/>
        <v>$158,585.00</v>
      </c>
      <c r="P95">
        <f t="shared" si="8"/>
        <v>158585</v>
      </c>
      <c r="V95" t="s">
        <v>1612</v>
      </c>
      <c r="X95">
        <f>P95-P47</f>
        <v>-22741</v>
      </c>
    </row>
    <row r="96" spans="3:24" x14ac:dyDescent="0.25">
      <c r="C96" t="s">
        <v>1564</v>
      </c>
      <c r="N96" t="str">
        <f t="shared" si="9"/>
        <v>-156,520.00</v>
      </c>
      <c r="P96">
        <f t="shared" si="8"/>
        <v>-156520</v>
      </c>
    </row>
    <row r="97" spans="3:24" x14ac:dyDescent="0.25">
      <c r="C97" t="s">
        <v>1604</v>
      </c>
      <c r="N97" t="str">
        <f>RIGHT(C97,8)</f>
        <v>2,065.00</v>
      </c>
      <c r="P97">
        <f t="shared" si="8"/>
        <v>2065</v>
      </c>
    </row>
    <row r="98" spans="3:24" x14ac:dyDescent="0.25">
      <c r="C98" t="s">
        <v>1605</v>
      </c>
      <c r="N98" t="str">
        <f>RIGHT(C98,12)</f>
        <v>1,002,065.00</v>
      </c>
      <c r="P98">
        <f t="shared" si="8"/>
        <v>1002065</v>
      </c>
      <c r="R98" t="s">
        <v>1615</v>
      </c>
      <c r="X98">
        <f>P99-P98</f>
        <v>33880</v>
      </c>
    </row>
    <row r="99" spans="3:24" x14ac:dyDescent="0.25">
      <c r="C99" t="s">
        <v>1569</v>
      </c>
      <c r="N99" t="str">
        <f>RIGHT(C99,12)</f>
        <v>1,035,945.00</v>
      </c>
      <c r="P99">
        <f t="shared" si="8"/>
        <v>1035945</v>
      </c>
    </row>
    <row r="100" spans="3:24" s="124" customFormat="1" x14ac:dyDescent="0.25">
      <c r="C100" s="125" t="s">
        <v>1606</v>
      </c>
    </row>
    <row r="101" spans="3:24" x14ac:dyDescent="0.25">
      <c r="C101" t="s">
        <v>1607</v>
      </c>
      <c r="N101" t="str">
        <f>RIGHT(C101,12)</f>
        <v>1,002,065.00</v>
      </c>
      <c r="P101">
        <f t="shared" si="8"/>
        <v>1002065</v>
      </c>
    </row>
    <row r="102" spans="3:24" x14ac:dyDescent="0.25">
      <c r="C102" t="s">
        <v>1608</v>
      </c>
      <c r="N102" t="str">
        <f>RIGHT(C102,12)</f>
        <v>1,035,945.00</v>
      </c>
      <c r="P102">
        <f t="shared" si="8"/>
        <v>1035945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44CF-F9F5-468A-8267-FA5429BC6E4C}">
  <dimension ref="A1:A111"/>
  <sheetViews>
    <sheetView tabSelected="1" workbookViewId="0">
      <selection activeCell="D10" sqref="D10"/>
    </sheetView>
  </sheetViews>
  <sheetFormatPr defaultRowHeight="15" x14ac:dyDescent="0.25"/>
  <sheetData>
    <row r="1" spans="1:1" x14ac:dyDescent="0.25">
      <c r="A1" s="123">
        <v>45603</v>
      </c>
    </row>
    <row r="2" spans="1:1" x14ac:dyDescent="0.25">
      <c r="A2" t="s">
        <v>1521</v>
      </c>
    </row>
    <row r="3" spans="1:1" x14ac:dyDescent="0.25">
      <c r="A3" t="s">
        <v>1479</v>
      </c>
    </row>
    <row r="5" spans="1:1" x14ac:dyDescent="0.25">
      <c r="A5" t="s">
        <v>1617</v>
      </c>
    </row>
    <row r="6" spans="1:1" x14ac:dyDescent="0.25">
      <c r="A6" t="s">
        <v>1618</v>
      </c>
    </row>
    <row r="7" spans="1:1" x14ac:dyDescent="0.25">
      <c r="A7" t="s">
        <v>1619</v>
      </c>
    </row>
    <row r="8" spans="1:1" x14ac:dyDescent="0.25">
      <c r="A8" t="s">
        <v>1522</v>
      </c>
    </row>
    <row r="9" spans="1:1" x14ac:dyDescent="0.25">
      <c r="A9" t="s">
        <v>1523</v>
      </c>
    </row>
    <row r="10" spans="1:1" x14ac:dyDescent="0.25">
      <c r="A10" t="s">
        <v>1620</v>
      </c>
    </row>
    <row r="11" spans="1:1" x14ac:dyDescent="0.25">
      <c r="A11" t="s">
        <v>1524</v>
      </c>
    </row>
    <row r="12" spans="1:1" x14ac:dyDescent="0.25">
      <c r="A12" t="s">
        <v>1525</v>
      </c>
    </row>
    <row r="13" spans="1:1" x14ac:dyDescent="0.25">
      <c r="A13" t="s">
        <v>1526</v>
      </c>
    </row>
    <row r="14" spans="1:1" x14ac:dyDescent="0.25">
      <c r="A14" t="s">
        <v>1527</v>
      </c>
    </row>
    <row r="15" spans="1:1" x14ac:dyDescent="0.25">
      <c r="A15" t="s">
        <v>1528</v>
      </c>
    </row>
    <row r="16" spans="1:1" x14ac:dyDescent="0.25">
      <c r="A16" t="s">
        <v>1529</v>
      </c>
    </row>
    <row r="17" spans="1:1" x14ac:dyDescent="0.25">
      <c r="A17" t="s">
        <v>1530</v>
      </c>
    </row>
    <row r="18" spans="1:1" x14ac:dyDescent="0.25">
      <c r="A18" t="s">
        <v>1531</v>
      </c>
    </row>
    <row r="19" spans="1:1" x14ac:dyDescent="0.25">
      <c r="A19" t="s">
        <v>1532</v>
      </c>
    </row>
    <row r="20" spans="1:1" x14ac:dyDescent="0.25">
      <c r="A20" t="s">
        <v>1533</v>
      </c>
    </row>
    <row r="21" spans="1:1" x14ac:dyDescent="0.25">
      <c r="A21" t="s">
        <v>1534</v>
      </c>
    </row>
    <row r="22" spans="1:1" x14ac:dyDescent="0.25">
      <c r="A22" t="s">
        <v>1535</v>
      </c>
    </row>
    <row r="23" spans="1:1" x14ac:dyDescent="0.25">
      <c r="A23" t="s">
        <v>1536</v>
      </c>
    </row>
    <row r="24" spans="1:1" x14ac:dyDescent="0.25">
      <c r="A24" t="s">
        <v>1537</v>
      </c>
    </row>
    <row r="25" spans="1:1" x14ac:dyDescent="0.25">
      <c r="A25" t="s">
        <v>1538</v>
      </c>
    </row>
    <row r="26" spans="1:1" x14ac:dyDescent="0.25">
      <c r="A26" t="s">
        <v>1539</v>
      </c>
    </row>
    <row r="27" spans="1:1" x14ac:dyDescent="0.25">
      <c r="A27" t="s">
        <v>1540</v>
      </c>
    </row>
    <row r="28" spans="1:1" x14ac:dyDescent="0.25">
      <c r="A28" t="s">
        <v>1541</v>
      </c>
    </row>
    <row r="29" spans="1:1" x14ac:dyDescent="0.25">
      <c r="A29" t="s">
        <v>1542</v>
      </c>
    </row>
    <row r="30" spans="1:1" x14ac:dyDescent="0.25">
      <c r="A30" t="s">
        <v>1543</v>
      </c>
    </row>
    <row r="31" spans="1:1" x14ac:dyDescent="0.25">
      <c r="A31" t="s">
        <v>1544</v>
      </c>
    </row>
    <row r="32" spans="1:1" x14ac:dyDescent="0.25">
      <c r="A32" t="s">
        <v>1545</v>
      </c>
    </row>
    <row r="33" spans="1:1" x14ac:dyDescent="0.25">
      <c r="A33" t="s">
        <v>1546</v>
      </c>
    </row>
    <row r="34" spans="1:1" x14ac:dyDescent="0.25">
      <c r="A34" t="s">
        <v>1547</v>
      </c>
    </row>
    <row r="35" spans="1:1" x14ac:dyDescent="0.25">
      <c r="A35" t="s">
        <v>1548</v>
      </c>
    </row>
    <row r="36" spans="1:1" x14ac:dyDescent="0.25">
      <c r="A36" t="s">
        <v>1549</v>
      </c>
    </row>
    <row r="37" spans="1:1" x14ac:dyDescent="0.25">
      <c r="A37" t="s">
        <v>1550</v>
      </c>
    </row>
    <row r="38" spans="1:1" x14ac:dyDescent="0.25">
      <c r="A38" t="s">
        <v>1551</v>
      </c>
    </row>
    <row r="39" spans="1:1" x14ac:dyDescent="0.25">
      <c r="A39" t="s">
        <v>1552</v>
      </c>
    </row>
    <row r="40" spans="1:1" x14ac:dyDescent="0.25">
      <c r="A40" t="s">
        <v>1553</v>
      </c>
    </row>
    <row r="41" spans="1:1" x14ac:dyDescent="0.25">
      <c r="A41" t="s">
        <v>1554</v>
      </c>
    </row>
    <row r="42" spans="1:1" x14ac:dyDescent="0.25">
      <c r="A42" t="s">
        <v>1555</v>
      </c>
    </row>
    <row r="43" spans="1:1" x14ac:dyDescent="0.25">
      <c r="A43" t="s">
        <v>1556</v>
      </c>
    </row>
    <row r="44" spans="1:1" x14ac:dyDescent="0.25">
      <c r="A44" t="s">
        <v>1557</v>
      </c>
    </row>
    <row r="45" spans="1:1" x14ac:dyDescent="0.25">
      <c r="A45" t="s">
        <v>1558</v>
      </c>
    </row>
    <row r="46" spans="1:1" x14ac:dyDescent="0.25">
      <c r="A46" t="s">
        <v>1559</v>
      </c>
    </row>
    <row r="47" spans="1:1" x14ac:dyDescent="0.25">
      <c r="A47" t="s">
        <v>1560</v>
      </c>
    </row>
    <row r="48" spans="1:1" x14ac:dyDescent="0.25">
      <c r="A48" t="s">
        <v>1561</v>
      </c>
    </row>
    <row r="49" spans="1:1" x14ac:dyDescent="0.25">
      <c r="A49" t="s">
        <v>1621</v>
      </c>
    </row>
    <row r="50" spans="1:1" x14ac:dyDescent="0.25">
      <c r="A50" t="s">
        <v>1562</v>
      </c>
    </row>
    <row r="51" spans="1:1" x14ac:dyDescent="0.25">
      <c r="A51" t="s">
        <v>1563</v>
      </c>
    </row>
    <row r="52" spans="1:1" x14ac:dyDescent="0.25">
      <c r="A52" t="s">
        <v>1564</v>
      </c>
    </row>
    <row r="53" spans="1:1" x14ac:dyDescent="0.25">
      <c r="A53" t="s">
        <v>1565</v>
      </c>
    </row>
    <row r="54" spans="1:1" x14ac:dyDescent="0.25">
      <c r="A54" t="s">
        <v>1566</v>
      </c>
    </row>
    <row r="55" spans="1:1" x14ac:dyDescent="0.25">
      <c r="A55" t="s">
        <v>1522</v>
      </c>
    </row>
    <row r="56" spans="1:1" x14ac:dyDescent="0.25">
      <c r="A56" t="s">
        <v>1567</v>
      </c>
    </row>
    <row r="58" spans="1:1" x14ac:dyDescent="0.25">
      <c r="A58" s="123">
        <v>45604</v>
      </c>
    </row>
    <row r="59" spans="1:1" x14ac:dyDescent="0.25">
      <c r="A59" t="s">
        <v>1568</v>
      </c>
    </row>
    <row r="60" spans="1:1" x14ac:dyDescent="0.25">
      <c r="A60" t="s">
        <v>1479</v>
      </c>
    </row>
    <row r="62" spans="1:1" x14ac:dyDescent="0.25">
      <c r="A62" t="s">
        <v>1617</v>
      </c>
    </row>
    <row r="63" spans="1:1" x14ac:dyDescent="0.25">
      <c r="A63" t="s">
        <v>1618</v>
      </c>
    </row>
    <row r="64" spans="1:1" x14ac:dyDescent="0.25">
      <c r="A64" t="s">
        <v>1622</v>
      </c>
    </row>
    <row r="65" spans="1:1" x14ac:dyDescent="0.25">
      <c r="A65" t="s">
        <v>1569</v>
      </c>
    </row>
    <row r="66" spans="1:1" x14ac:dyDescent="0.25">
      <c r="A66" t="s">
        <v>1523</v>
      </c>
    </row>
    <row r="67" spans="1:1" x14ac:dyDescent="0.25">
      <c r="A67" t="s">
        <v>1623</v>
      </c>
    </row>
    <row r="68" spans="1:1" x14ac:dyDescent="0.25">
      <c r="A68" t="s">
        <v>1570</v>
      </c>
    </row>
    <row r="69" spans="1:1" x14ac:dyDescent="0.25">
      <c r="A69" t="s">
        <v>1571</v>
      </c>
    </row>
    <row r="70" spans="1:1" x14ac:dyDescent="0.25">
      <c r="A70" t="s">
        <v>1572</v>
      </c>
    </row>
    <row r="71" spans="1:1" x14ac:dyDescent="0.25">
      <c r="A71" t="s">
        <v>1573</v>
      </c>
    </row>
    <row r="72" spans="1:1" x14ac:dyDescent="0.25">
      <c r="A72" t="s">
        <v>1574</v>
      </c>
    </row>
    <row r="73" spans="1:1" x14ac:dyDescent="0.25">
      <c r="A73" t="s">
        <v>1575</v>
      </c>
    </row>
    <row r="74" spans="1:1" x14ac:dyDescent="0.25">
      <c r="A74" t="s">
        <v>1576</v>
      </c>
    </row>
    <row r="75" spans="1:1" x14ac:dyDescent="0.25">
      <c r="A75" t="s">
        <v>1577</v>
      </c>
    </row>
    <row r="76" spans="1:1" x14ac:dyDescent="0.25">
      <c r="A76" t="s">
        <v>1578</v>
      </c>
    </row>
    <row r="77" spans="1:1" x14ac:dyDescent="0.25">
      <c r="A77" t="s">
        <v>1579</v>
      </c>
    </row>
    <row r="78" spans="1:1" x14ac:dyDescent="0.25">
      <c r="A78" t="s">
        <v>1580</v>
      </c>
    </row>
    <row r="79" spans="1:1" x14ac:dyDescent="0.25">
      <c r="A79" t="s">
        <v>1581</v>
      </c>
    </row>
    <row r="80" spans="1:1" x14ac:dyDescent="0.25">
      <c r="A80" t="s">
        <v>1582</v>
      </c>
    </row>
    <row r="81" spans="1:1" x14ac:dyDescent="0.25">
      <c r="A81" t="s">
        <v>1583</v>
      </c>
    </row>
    <row r="82" spans="1:1" x14ac:dyDescent="0.25">
      <c r="A82" t="s">
        <v>1584</v>
      </c>
    </row>
    <row r="83" spans="1:1" x14ac:dyDescent="0.25">
      <c r="A83" t="s">
        <v>1585</v>
      </c>
    </row>
    <row r="84" spans="1:1" x14ac:dyDescent="0.25">
      <c r="A84" t="s">
        <v>1586</v>
      </c>
    </row>
    <row r="85" spans="1:1" x14ac:dyDescent="0.25">
      <c r="A85" t="s">
        <v>1587</v>
      </c>
    </row>
    <row r="86" spans="1:1" x14ac:dyDescent="0.25">
      <c r="A86" t="s">
        <v>1588</v>
      </c>
    </row>
    <row r="87" spans="1:1" x14ac:dyDescent="0.25">
      <c r="A87" t="s">
        <v>1589</v>
      </c>
    </row>
    <row r="88" spans="1:1" x14ac:dyDescent="0.25">
      <c r="A88" t="s">
        <v>1548</v>
      </c>
    </row>
    <row r="89" spans="1:1" x14ac:dyDescent="0.25">
      <c r="A89" t="s">
        <v>1549</v>
      </c>
    </row>
    <row r="90" spans="1:1" x14ac:dyDescent="0.25">
      <c r="A90" t="s">
        <v>1590</v>
      </c>
    </row>
    <row r="91" spans="1:1" x14ac:dyDescent="0.25">
      <c r="A91" t="s">
        <v>1591</v>
      </c>
    </row>
    <row r="92" spans="1:1" x14ac:dyDescent="0.25">
      <c r="A92" t="s">
        <v>1592</v>
      </c>
    </row>
    <row r="93" spans="1:1" x14ac:dyDescent="0.25">
      <c r="A93" t="s">
        <v>1593</v>
      </c>
    </row>
    <row r="94" spans="1:1" x14ac:dyDescent="0.25">
      <c r="A94" t="s">
        <v>1594</v>
      </c>
    </row>
    <row r="95" spans="1:1" x14ac:dyDescent="0.25">
      <c r="A95" t="s">
        <v>1595</v>
      </c>
    </row>
    <row r="96" spans="1:1" x14ac:dyDescent="0.25">
      <c r="A96" t="s">
        <v>1596</v>
      </c>
    </row>
    <row r="97" spans="1:1" x14ac:dyDescent="0.25">
      <c r="A97" t="s">
        <v>1597</v>
      </c>
    </row>
    <row r="98" spans="1:1" x14ac:dyDescent="0.25">
      <c r="A98" t="s">
        <v>1598</v>
      </c>
    </row>
    <row r="99" spans="1:1" x14ac:dyDescent="0.25">
      <c r="A99" t="s">
        <v>1599</v>
      </c>
    </row>
    <row r="100" spans="1:1" x14ac:dyDescent="0.25">
      <c r="A100" t="s">
        <v>1600</v>
      </c>
    </row>
    <row r="101" spans="1:1" x14ac:dyDescent="0.25">
      <c r="A101" t="s">
        <v>1601</v>
      </c>
    </row>
    <row r="102" spans="1:1" x14ac:dyDescent="0.25">
      <c r="A102" t="s">
        <v>1621</v>
      </c>
    </row>
    <row r="103" spans="1:1" x14ac:dyDescent="0.25">
      <c r="A103" t="s">
        <v>1602</v>
      </c>
    </row>
    <row r="104" spans="1:1" x14ac:dyDescent="0.25">
      <c r="A104" t="s">
        <v>1603</v>
      </c>
    </row>
    <row r="105" spans="1:1" x14ac:dyDescent="0.25">
      <c r="A105" t="s">
        <v>1564</v>
      </c>
    </row>
    <row r="106" spans="1:1" x14ac:dyDescent="0.25">
      <c r="A106" t="s">
        <v>1604</v>
      </c>
    </row>
    <row r="107" spans="1:1" x14ac:dyDescent="0.25">
      <c r="A107" t="s">
        <v>1605</v>
      </c>
    </row>
    <row r="108" spans="1:1" x14ac:dyDescent="0.25">
      <c r="A108" t="s">
        <v>1569</v>
      </c>
    </row>
    <row r="109" spans="1:1" x14ac:dyDescent="0.25">
      <c r="A109" t="s">
        <v>1606</v>
      </c>
    </row>
    <row r="110" spans="1:1" x14ac:dyDescent="0.25">
      <c r="A110" t="s">
        <v>1607</v>
      </c>
    </row>
    <row r="111" spans="1:1" x14ac:dyDescent="0.25">
      <c r="A111" t="s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Optimization</vt:lpstr>
      <vt:lpstr>Sheet7</vt:lpstr>
      <vt:lpstr>Sheet8</vt:lpstr>
      <vt:lpstr>Sheet6</vt:lpstr>
      <vt:lpstr>Sheet5</vt:lpstr>
      <vt:lpstr>Sheet2</vt:lpstr>
      <vt:lpstr>Sheet3</vt:lpstr>
      <vt:lpstr>Sheet4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Luz, Yuda</dc:creator>
  <cp:lastModifiedBy>Luz, Yuda</cp:lastModifiedBy>
  <dcterms:created xsi:type="dcterms:W3CDTF">2025-11-03T03:00:03Z</dcterms:created>
  <dcterms:modified xsi:type="dcterms:W3CDTF">2025-11-05T00:55:21Z</dcterms:modified>
</cp:coreProperties>
</file>